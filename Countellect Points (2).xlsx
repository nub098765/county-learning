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<sst xmlns="http://schemas.openxmlformats.org/spreadsheetml/2006/main" count="73" uniqueCount="72">
  <si>
    <t>STATE</t>
  </si>
  <si>
    <t># OF COUNTIES</t>
  </si>
  <si>
    <t>STATE SPECIFIC MULTIPLIER</t>
  </si>
  <si>
    <t>PIN (2)</t>
  </si>
  <si>
    <t>FLASH (3)</t>
  </si>
  <si>
    <t>MULTIPLE-
CHOICE (1)</t>
  </si>
  <si>
    <t>LIST (2)</t>
  </si>
  <si>
    <t>TYPE (3)</t>
  </si>
  <si>
    <t>IDENTIFY (5)</t>
  </si>
  <si>
    <t>BRONZE BADGE (100% RUN IN 1–2 GAMEMODES) (2)</t>
  </si>
  <si>
    <t>SILVER BADGE) (100% RUN IN 3–5 GAMEMODES) (3)</t>
  </si>
  <si>
    <t>GOLD BADGE (100% RUN IN 6 GAMEMODES) (5)</t>
  </si>
  <si>
    <t>HIGHEST POSSIBLE SCORE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</si>
  <si>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</si>
  <si>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</si>
  <si>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</si>
  <si>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</si>
  <si>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</si>
  <si>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</si>
  <si>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</si>
  <si>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</si>
  <si>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</si>
  <si>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</si>
  <si>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</si>
  <si>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</si>
  <si>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</si>
  <si>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</si>
  <si>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</si>
  <si>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</si>
  <si>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</si>
  <si>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</si>
  <si>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</si>
  <si>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</si>
  <si>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</si>
  <si>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</si>
  <si>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</si>
  <si>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</si>
  <si>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</si>
  <si>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</si>
  <si>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</si>
  <si>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</si>
  <si>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</si>
  <si>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</si>
  <si>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</si>
  <si>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</si>
  <si>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</si>
  <si>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</si>
  <si>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</si>
  <si>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</si>
  <si>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</si>
  <si>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</si>
  <si>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</si>
  <si>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</si>
  <si>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</si>
  <si>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</si>
  <si>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</si>
  <si>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</si>
  <si>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</si>
  <si>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</si>
  <si>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</si>
  <si>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</si>
  <si>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United States Minor Outlying Islands</t>
  </si>
  <si>
    <t>United States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</si>
  <si>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</si>
  <si>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</si>
  <si>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</si>
  <si>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</si>
  <si>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</si>
  <si>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</si>
  <si>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</si>
  <si>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</si>
  <si>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>THE ULTIMATE CHALLENGE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</si>
</sst>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b/>
      <color theme="1"/>
      <name val="Lexend"/>
    </font>
    <font>
      <b/>
      <color rgb="FFFFFFFF"/>
      <name val="Lexend"/>
    </font>
    <font>
      <b/>
      <color rgb="FFFFD966"/>
      <name val="Lexend"/>
    </font>
    <font>
      <b/>
      <color rgb="FF666666"/>
      <name val="Lexend"/>
    </font>
    <font>
      <b/>
      <color rgb="FF8F2F0F"/>
      <name val="Lexend"/>
    </font>
    <font>
      <b/>
      <color rgb="FFD9EAD3"/>
      <name val="Lexend"/>
    </font>
    <font>
      <color theme="1"/>
      <name val="Lexend"/>
    </font>
    <font>
      <b/>
      <color rgb="FF674EA7"/>
      <name val="Lexend"/>
    </font>
    <font>
      <b/>
      <color rgb="FFE6CCE6"/>
      <name val="Lexend"/>
    </font>
    <font>
      <b/>
      <color rgb="FFE3E9FC"/>
      <name val="Lexend"/>
    </font>
    <font>
      <b/>
      <color rgb="FF990000"/>
      <name val="Lexend"/>
    </font>
    <font>
      <b/>
      <color rgb="FF351C75"/>
      <name val="Lexend"/>
    </font>
    <font>
      <b/>
      <color rgb="FFD0E0E3"/>
      <name val="Lexend"/>
    </font>
    <font>
      <b/>
      <color rgb="FF4C1130"/>
      <name val="Lexend"/>
    </font>
    <font>
      <b/>
      <color rgb="FFFFE599"/>
      <name val="Lexend"/>
    </font>
    <font>
      <b/>
      <color rgb="FF9FC5E8"/>
      <name val="Lexend"/>
    </font>
    <font>
      <b/>
      <color rgb="FF38761D"/>
      <name val="Lexend"/>
    </font>
    <font>
      <b/>
      <color rgb="FFFFF8ED"/>
      <name val="Lexend"/>
    </font>
    <font>
      <b/>
      <color rgb="FFC9DAF8"/>
      <name val="Lexend"/>
    </font>
    <font>
      <b/>
      <color rgb="FF7F6000"/>
      <name val="Lexend"/>
    </font>
    <font>
      <b/>
      <color rgb="FF1155CC"/>
      <name val="Lexend"/>
    </font>
    <font>
      <b/>
      <color rgb="FF85200C"/>
      <name val="Lexend"/>
    </font>
    <font>
      <b/>
      <color rgb="FFCFE2F3"/>
      <name val="Lexend"/>
    </font>
    <font>
      <b/>
      <color rgb="FFEAD1DC"/>
      <name val="Lexend"/>
    </font>
    <font>
      <b/>
      <color rgb="FFFFF2CC"/>
      <name val="Lexend"/>
    </font>
    <font>
      <b/>
      <color rgb="FFF0D4FF"/>
      <name val="Lexend"/>
    </font>
    <font>
      <b/>
      <color rgb="FF274E13"/>
      <name val="Lexend"/>
    </font>
    <font>
      <b/>
      <color rgb="FF434343"/>
      <name val="Lexend"/>
    </font>
    <font>
      <b/>
      <color rgb="FFD5A6BD"/>
      <name val="Lexend"/>
    </font>
    <font>
      <b/>
      <color rgb="FF0000A1"/>
      <name val="Lexend"/>
    </font>
    <font>
      <b/>
      <color rgb="FFA61C00"/>
      <name val="Lexend"/>
    </font>
    <font>
      <b/>
      <color rgb="FF420027"/>
      <name val="Lexend"/>
    </font>
    <font>
      <b/>
      <color rgb="FFF9CB9C"/>
      <name val="Lexend"/>
    </font>
    <font>
      <b/>
      <color rgb="FF783F04"/>
      <name val="Lexend"/>
    </font>
    <font>
      <b/>
      <color rgb="FFF4CCCC"/>
      <name val="Lexend"/>
    </font>
    <font>
      <b/>
      <color rgb="FFFCD7D0"/>
      <name val="Lexend"/>
    </font>
    <font>
      <b/>
      <color rgb="FF1C4587"/>
      <name val="Lexend"/>
    </font>
    <font>
      <b/>
      <color rgb="FFCC0000"/>
      <name val="Lexend"/>
    </font>
    <font>
      <b/>
      <color rgb="FF134F5C"/>
      <name val="Lexend"/>
    </font>
    <font>
      <b/>
      <color rgb="FFFCE5CD"/>
      <name val="Lexend"/>
    </font>
    <font>
      <b/>
      <color rgb="FFFFDBB7"/>
      <name val="Lexend"/>
    </font>
    <font>
      <b/>
      <color rgb="FFEFE8FF"/>
      <name val="Lexend"/>
    </font>
    <font>
      <b/>
      <color rgb="FF741B47"/>
      <name val="Lexend"/>
    </font>
  </fonts>
  <fills count="7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3B82F6"/>
        <bgColor rgb="FF3B82F6"/>
      </patternFill>
    </fill>
    <fill>
      <patternFill patternType="solid">
        <fgColor rgb="FF8B5CF6"/>
        <bgColor rgb="FF8B5CF6"/>
      </patternFill>
    </fill>
    <fill>
      <patternFill patternType="solid">
        <fgColor rgb="FFF59E0B"/>
        <bgColor rgb="FFF59E0B"/>
      </patternFill>
    </fill>
    <fill>
      <patternFill patternType="solid">
        <fgColor rgb="FF14B8A6"/>
        <bgColor rgb="FF14B8A6"/>
      </patternFill>
    </fill>
    <fill>
      <patternFill patternType="solid">
        <fgColor rgb="FFEF4444"/>
        <bgColor rgb="FFEF4444"/>
      </patternFill>
    </fill>
    <fill>
      <patternFill patternType="solid">
        <fgColor rgb="FFEC4899"/>
        <bgColor rgb="FFEC4899"/>
      </patternFill>
    </fill>
    <fill>
      <patternFill patternType="solid">
        <fgColor rgb="FFB0703C"/>
        <bgColor rgb="FFB0703C"/>
      </patternFill>
    </fill>
    <fill>
      <patternFill patternType="solid">
        <fgColor rgb="FFB8C0CC"/>
        <bgColor rgb="FFB8C0CC"/>
      </patternFill>
    </fill>
    <fill>
      <patternFill patternType="solid">
        <fgColor rgb="FFD4A017"/>
        <bgColor rgb="FFD4A017"/>
      </patternFill>
    </fill>
    <fill>
      <patternFill patternType="solid">
        <fgColor rgb="FF081B39"/>
        <bgColor rgb="FF081B39"/>
      </patternFill>
    </fill>
    <fill>
      <patternFill patternType="solid">
        <fgColor rgb="FF00491C"/>
        <bgColor rgb="FF00491C"/>
      </patternFill>
    </fill>
    <fill>
      <patternFill patternType="solid">
        <fgColor rgb="FFD9EAD3"/>
        <bgColor rgb="FFD9EAD3"/>
      </patternFill>
    </fill>
    <fill>
      <patternFill patternType="solid">
        <fgColor rgb="FF6DFEFE"/>
        <bgColor rgb="FF6DFEFE"/>
      </patternFill>
    </fill>
    <fill>
      <patternFill patternType="solid">
        <fgColor rgb="FFFFF2CC"/>
        <bgColor rgb="FFFFF2CC"/>
      </patternFill>
    </fill>
    <fill>
      <patternFill patternType="solid">
        <fgColor rgb="FF767576"/>
        <bgColor rgb="FF767576"/>
      </patternFill>
    </fill>
    <fill>
      <patternFill patternType="solid">
        <fgColor rgb="FF8A9CC6"/>
        <bgColor rgb="FF8A9CC6"/>
      </patternFill>
    </fill>
    <fill>
      <patternFill patternType="solid">
        <fgColor rgb="FFBEC86F"/>
        <bgColor rgb="FFBEC86F"/>
      </patternFill>
    </fill>
    <fill>
      <patternFill patternType="solid">
        <fgColor rgb="FFFB85FD"/>
        <bgColor rgb="FFFB85FD"/>
      </patternFill>
    </fill>
    <fill>
      <patternFill patternType="solid">
        <fgColor rgb="FF00856D"/>
        <bgColor rgb="FF00856D"/>
      </patternFill>
    </fill>
    <fill>
      <patternFill patternType="solid">
        <fgColor rgb="FFFFC0C1"/>
        <bgColor rgb="FFFFC0C1"/>
      </patternFill>
    </fill>
    <fill>
      <patternFill patternType="solid">
        <fgColor rgb="FF0000A1"/>
        <bgColor rgb="FF0000A1"/>
      </patternFill>
    </fill>
    <fill>
      <patternFill patternType="solid">
        <fgColor rgb="FF670011"/>
        <bgColor rgb="FF670011"/>
      </patternFill>
    </fill>
    <fill>
      <patternFill patternType="solid">
        <fgColor rgb="FFF4CCCC"/>
        <bgColor rgb="FFF4CCCC"/>
      </patternFill>
    </fill>
    <fill>
      <patternFill patternType="solid">
        <fgColor rgb="FFE4F73A"/>
        <bgColor rgb="FFE4F73A"/>
      </patternFill>
    </fill>
    <fill>
      <patternFill patternType="solid">
        <fgColor rgb="FFFF553D"/>
        <bgColor rgb="FFFF553D"/>
      </patternFill>
    </fill>
    <fill>
      <patternFill patternType="solid">
        <fgColor rgb="FFCFE2F3"/>
        <bgColor rgb="FFCFE2F3"/>
      </patternFill>
    </fill>
    <fill>
      <patternFill patternType="solid">
        <fgColor rgb="FF5050F5"/>
        <bgColor rgb="FF5050F5"/>
      </patternFill>
    </fill>
    <fill>
      <patternFill patternType="solid">
        <fgColor rgb="FF4FEEA5"/>
        <bgColor rgb="FF4FEEA5"/>
      </patternFill>
    </fill>
    <fill>
      <patternFill patternType="solid">
        <fgColor rgb="FFF7CE00"/>
        <bgColor rgb="FFF7CE00"/>
      </patternFill>
    </fill>
    <fill>
      <patternFill patternType="solid">
        <fgColor rgb="FFFFF281"/>
        <bgColor rgb="FFFFF281"/>
      </patternFill>
    </fill>
    <fill>
      <patternFill patternType="solid">
        <fgColor rgb="FFD4AA77"/>
        <bgColor rgb="FFD4AA77"/>
      </patternFill>
    </fill>
    <fill>
      <patternFill patternType="solid">
        <fgColor rgb="FFE7FFA9"/>
        <bgColor rgb="FFE7FFA9"/>
      </patternFill>
    </fill>
    <fill>
      <patternFill patternType="solid">
        <fgColor rgb="FFB0E8B5"/>
        <bgColor rgb="FFB0E8B5"/>
      </patternFill>
    </fill>
    <fill>
      <patternFill patternType="solid">
        <fgColor rgb="FF1897B4"/>
        <bgColor rgb="FF1897B4"/>
      </patternFill>
    </fill>
    <fill>
      <patternFill patternType="solid">
        <fgColor rgb="FF803499"/>
        <bgColor rgb="FF803499"/>
      </patternFill>
    </fill>
    <fill>
      <patternFill patternType="solid">
        <fgColor rgb="FFFB9163"/>
        <bgColor rgb="FFFB9163"/>
      </patternFill>
    </fill>
    <fill>
      <patternFill patternType="solid">
        <fgColor rgb="FFFC2E5B"/>
        <bgColor rgb="FFFC2E5B"/>
      </patternFill>
    </fill>
    <fill>
      <patternFill patternType="solid">
        <fgColor rgb="FFCD70FF"/>
        <bgColor rgb="FFCD70FF"/>
      </patternFill>
    </fill>
    <fill>
      <patternFill patternType="solid">
        <fgColor rgb="FF95DF15"/>
        <bgColor rgb="FF95DF15"/>
      </patternFill>
    </fill>
    <fill>
      <patternFill patternType="solid">
        <fgColor rgb="FFFFC294"/>
        <bgColor rgb="FFFFC294"/>
      </patternFill>
    </fill>
    <fill>
      <patternFill patternType="solid">
        <fgColor rgb="FF7F0E54"/>
        <bgColor rgb="FF7F0E54"/>
      </patternFill>
    </fill>
    <fill>
      <patternFill patternType="solid">
        <fgColor rgb="FF17C5E4"/>
        <bgColor rgb="FF17C5E4"/>
      </patternFill>
    </fill>
    <fill>
      <patternFill patternType="solid">
        <fgColor rgb="FFC6DBE8"/>
        <bgColor rgb="FFC6DBE8"/>
      </patternFill>
    </fill>
    <fill>
      <patternFill patternType="solid">
        <fgColor rgb="FFC11A36"/>
        <bgColor rgb="FFC11A36"/>
      </patternFill>
    </fill>
    <fill>
      <patternFill patternType="solid">
        <fgColor rgb="FFFFE7BC"/>
        <bgColor rgb="FFFFE7BC"/>
      </patternFill>
    </fill>
    <fill>
      <patternFill patternType="solid">
        <fgColor rgb="FFFF3DA8"/>
        <bgColor rgb="FFFF3DA8"/>
      </patternFill>
    </fill>
    <fill>
      <patternFill patternType="solid">
        <fgColor rgb="FF5D4033"/>
        <bgColor rgb="FF5D4033"/>
      </patternFill>
    </fill>
    <fill>
      <patternFill patternType="solid">
        <fgColor rgb="FFF1AB13"/>
        <bgColor rgb="FFF1AB13"/>
      </patternFill>
    </fill>
    <fill>
      <patternFill patternType="solid">
        <fgColor rgb="FFFF8181"/>
        <bgColor rgb="FFFF8181"/>
      </patternFill>
    </fill>
    <fill>
      <patternFill patternType="solid">
        <fgColor rgb="FF006597"/>
        <bgColor rgb="FF006597"/>
      </patternFill>
    </fill>
    <fill>
      <patternFill patternType="solid">
        <fgColor rgb="FF6C5BCA"/>
        <bgColor rgb="FF6C5BCA"/>
      </patternFill>
    </fill>
    <fill>
      <patternFill patternType="solid">
        <fgColor rgb="FF44FF00"/>
        <bgColor rgb="FF44FF00"/>
      </patternFill>
    </fill>
    <fill>
      <patternFill patternType="solid">
        <fgColor rgb="FFFFA33B"/>
        <bgColor rgb="FFFFA33B"/>
      </patternFill>
    </fill>
    <fill>
      <patternFill patternType="solid">
        <fgColor rgb="FFA15F39"/>
        <bgColor rgb="FFA15F39"/>
      </patternFill>
    </fill>
    <fill>
      <patternFill patternType="solid">
        <fgColor rgb="FFBD6E63"/>
        <bgColor rgb="FFBD6E63"/>
      </patternFill>
    </fill>
    <fill>
      <patternFill patternType="solid">
        <fgColor rgb="FFD6C040"/>
        <bgColor rgb="FFD6C040"/>
      </patternFill>
    </fill>
    <fill>
      <patternFill patternType="solid">
        <fgColor rgb="FFFBD573"/>
        <bgColor rgb="FFFBD573"/>
      </patternFill>
    </fill>
    <fill>
      <patternFill patternType="solid">
        <fgColor rgb="FF008A28"/>
        <bgColor rgb="FF008A28"/>
      </patternFill>
    </fill>
    <fill>
      <patternFill patternType="solid">
        <fgColor rgb="FF68CAD5"/>
        <bgColor rgb="FF68CAD5"/>
      </patternFill>
    </fill>
    <fill>
      <patternFill patternType="solid">
        <fgColor rgb="FF87CAF3"/>
        <bgColor rgb="FF87CAF3"/>
      </patternFill>
    </fill>
    <fill>
      <patternFill patternType="solid">
        <fgColor rgb="FFF05400"/>
        <bgColor rgb="FFF05400"/>
      </patternFill>
    </fill>
    <fill>
      <patternFill patternType="solid">
        <fgColor rgb="FF798830"/>
        <bgColor rgb="FF798830"/>
      </patternFill>
    </fill>
    <fill>
      <patternFill patternType="solid">
        <fgColor rgb="FFC3C3C3"/>
        <bgColor rgb="FFC3C3C3"/>
      </patternFill>
    </fill>
    <fill>
      <patternFill patternType="solid">
        <fgColor rgb="FFC62FD0"/>
        <bgColor rgb="FFC62FD0"/>
      </patternFill>
    </fill>
    <fill>
      <patternFill patternType="solid">
        <fgColor rgb="FFF0781D"/>
        <bgColor rgb="FFF0781D"/>
      </patternFill>
    </fill>
    <fill>
      <patternFill patternType="solid">
        <fgColor rgb="FF0089F1"/>
        <bgColor rgb="FF0089F1"/>
      </patternFill>
    </fill>
    <fill>
      <patternFill patternType="solid">
        <fgColor rgb="FFB390DB"/>
        <bgColor rgb="FFB390DB"/>
      </patternFill>
    </fill>
    <fill>
      <patternFill patternType="solid">
        <fgColor rgb="FF87B9A3"/>
        <bgColor rgb="FF87B9A3"/>
      </patternFill>
    </fill>
    <fill>
      <patternFill patternType="solid">
        <fgColor rgb="FF355850"/>
        <bgColor rgb="FF355850"/>
      </patternFill>
    </fill>
    <fill>
      <patternFill patternType="solid">
        <fgColor rgb="FFE9BAF5"/>
        <bgColor rgb="FFE9BAF5"/>
      </patternFill>
    </fill>
    <fill>
      <patternFill patternType="solid">
        <fgColor rgb="FF8C607E"/>
        <bgColor rgb="FF8C607E"/>
      </patternFill>
    </fill>
    <fill>
      <patternFill patternType="solid">
        <fgColor rgb="FFCE4E2C"/>
        <bgColor rgb="FFCE4E2C"/>
      </patternFill>
    </fill>
  </fills>
  <borders count="11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2" fillId="10" fontId="3" numFmtId="0" xfId="0" applyAlignment="1" applyBorder="1" applyFill="1" applyFont="1">
      <alignment horizontal="center" readingOrder="0" shrinkToFit="0" vertical="center" wrapText="1"/>
    </xf>
    <xf borderId="0" fillId="11" fontId="4" numFmtId="0" xfId="0" applyAlignment="1" applyFill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2" fillId="13" fontId="2" numFmtId="0" xfId="0" applyAlignment="1" applyBorder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15" fontId="7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16" fontId="8" numFmtId="0" xfId="0" applyAlignment="1" applyFill="1" applyFont="1">
      <alignment horizontal="center" readingOrder="0" shrinkToFit="0" vertical="center" wrapText="1"/>
    </xf>
    <xf borderId="2" fillId="17" fontId="7" numFmtId="0" xfId="0" applyAlignment="1" applyBorder="1" applyFill="1" applyFont="1">
      <alignment horizontal="center" readingOrder="0" shrinkToFit="0" vertical="center" wrapText="1"/>
    </xf>
    <xf borderId="0" fillId="18" fontId="9" numFmtId="0" xfId="0" applyAlignment="1" applyFill="1" applyFont="1">
      <alignment horizontal="center" readingOrder="0" shrinkToFit="0" vertical="center" wrapText="1"/>
    </xf>
    <xf borderId="0" fillId="19" fontId="10" numFmtId="0" xfId="0" applyAlignment="1" applyFill="1" applyFont="1">
      <alignment horizontal="center" readingOrder="0" shrinkToFit="0" vertical="center" wrapText="1"/>
    </xf>
    <xf borderId="0" fillId="20" fontId="11" numFmtId="0" xfId="0" applyAlignment="1" applyFill="1" applyFont="1">
      <alignment horizontal="center" readingOrder="0" shrinkToFit="0" vertical="center" wrapText="1"/>
    </xf>
    <xf borderId="0" fillId="21" fontId="12" numFmtId="0" xfId="0" applyAlignment="1" applyFill="1" applyFont="1">
      <alignment horizontal="center" readingOrder="0" shrinkToFit="0" vertical="center" wrapText="1"/>
    </xf>
    <xf borderId="0" fillId="22" fontId="13" numFmtId="0" xfId="0" applyAlignment="1" applyFill="1" applyFont="1">
      <alignment horizontal="center" readingOrder="0" shrinkToFit="0" vertical="center" wrapText="1"/>
    </xf>
    <xf borderId="0" fillId="23" fontId="14" numFmtId="0" xfId="0" applyAlignment="1" applyFill="1" applyFont="1">
      <alignment horizontal="center" readingOrder="0" shrinkToFit="0" vertical="center" wrapText="1"/>
    </xf>
    <xf borderId="0" fillId="24" fontId="15" numFmtId="0" xfId="0" applyAlignment="1" applyFill="1" applyFont="1">
      <alignment horizontal="center" readingOrder="0" shrinkToFit="0" vertical="center" wrapText="1"/>
    </xf>
    <xf borderId="0" fillId="25" fontId="16" numFmtId="0" xfId="0" applyAlignment="1" applyFill="1" applyFont="1">
      <alignment horizontal="center" readingOrder="0" shrinkToFit="0" vertical="center" wrapText="1"/>
    </xf>
    <xf borderId="2" fillId="26" fontId="7" numFmtId="0" xfId="0" applyAlignment="1" applyBorder="1" applyFill="1" applyFont="1">
      <alignment horizontal="center" readingOrder="0" shrinkToFit="0" vertical="center" wrapText="1"/>
    </xf>
    <xf borderId="2" fillId="26" fontId="7" numFmtId="0" xfId="0" applyAlignment="1" applyBorder="1" applyFill="1" applyFont="1">
      <alignment horizontal="center" shrinkToFit="0" vertical="center" wrapText="1"/>
    </xf>
    <xf borderId="0" fillId="26" fontId="7" numFmtId="0" xfId="0" applyAlignment="1" applyFill="1" applyFont="1">
      <alignment horizontal="center" shrinkToFit="0" vertical="center" wrapText="1"/>
    </xf>
    <xf borderId="1" fillId="26" fontId="7" numFmtId="0" xfId="0" applyAlignment="1" applyBorder="1" applyFill="1" applyFont="1">
      <alignment horizontal="center" shrinkToFit="0" vertical="center" wrapText="1"/>
    </xf>
    <xf borderId="0" fillId="27" fontId="17" numFmtId="0" xfId="0" applyAlignment="1" applyFill="1" applyFont="1">
      <alignment horizontal="center" readingOrder="0" shrinkToFit="0" vertical="center" wrapText="1"/>
    </xf>
    <xf borderId="0" fillId="28" fontId="18" numFmtId="0" xfId="0" applyAlignment="1" applyFill="1" applyFont="1">
      <alignment horizontal="center" readingOrder="0" shrinkToFit="0" vertical="center" wrapText="1"/>
    </xf>
    <xf borderId="2" fillId="29" fontId="7" numFmtId="0" xfId="0" applyAlignment="1" applyBorder="1" applyFill="1" applyFont="1">
      <alignment horizontal="center" readingOrder="0" shrinkToFit="0" vertical="center" wrapText="1"/>
    </xf>
    <xf borderId="0" fillId="30" fontId="19" numFmtId="0" xfId="0" applyAlignment="1" applyFill="1" applyFont="1">
      <alignment horizontal="center" readingOrder="0" shrinkToFit="0" vertical="center" wrapText="1"/>
    </xf>
    <xf borderId="0" fillId="31" fontId="8" numFmtId="0" xfId="0" applyAlignment="1" applyFill="1" applyFont="1">
      <alignment horizontal="center" readingOrder="0" shrinkToFit="0" vertical="center" wrapText="1"/>
    </xf>
    <xf borderId="0" fillId="32" fontId="20" numFmtId="0" xfId="0" applyAlignment="1" applyFill="1" applyFont="1">
      <alignment horizontal="center" readingOrder="0" shrinkToFit="0" vertical="center" wrapText="1"/>
    </xf>
    <xf borderId="0" fillId="33" fontId="21" numFmtId="0" xfId="0" applyAlignment="1" applyFill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readingOrder="0" shrinkToFit="0" vertical="center" wrapText="1"/>
    </xf>
    <xf borderId="0" fillId="34" fontId="11" numFmtId="0" xfId="0" applyAlignment="1" applyFill="1" applyFont="1">
      <alignment horizontal="center" readingOrder="0" shrinkToFit="0" vertical="center" wrapText="1"/>
    </xf>
    <xf borderId="0" fillId="35" fontId="20" numFmtId="0" xfId="0" applyAlignment="1" applyFill="1" applyFont="1">
      <alignment horizontal="center" readingOrder="0" shrinkToFit="0" vertical="center" wrapText="1"/>
    </xf>
    <xf borderId="0" fillId="36" fontId="22" numFmtId="0" xfId="0" applyAlignment="1" applyFill="1" applyFont="1">
      <alignment horizontal="center" readingOrder="0" shrinkToFit="0" vertical="center" wrapText="1"/>
    </xf>
    <xf borderId="0" fillId="37" fontId="23" numFmtId="0" xfId="0" applyAlignment="1" applyFill="1" applyFont="1">
      <alignment horizontal="center" readingOrder="0" shrinkToFit="0" vertical="center" wrapText="1"/>
    </xf>
    <xf borderId="0" fillId="38" fontId="24" numFmtId="0" xfId="0" applyAlignment="1" applyFill="1" applyFont="1">
      <alignment horizontal="center" readingOrder="0" shrinkToFit="0" vertical="center" wrapText="1"/>
    </xf>
    <xf borderId="0" fillId="39" fontId="25" numFmtId="0" xfId="0" applyAlignment="1" applyFill="1" applyFont="1">
      <alignment horizontal="center" readingOrder="0" shrinkToFit="0" vertical="center" wrapText="1"/>
    </xf>
    <xf borderId="0" fillId="40" fontId="25" numFmtId="0" xfId="0" applyAlignment="1" applyFill="1" applyFont="1">
      <alignment horizontal="center" readingOrder="0" shrinkToFit="0" vertical="center" wrapText="1"/>
    </xf>
    <xf borderId="0" fillId="41" fontId="26" numFmtId="0" xfId="0" applyAlignment="1" applyFill="1" applyFont="1">
      <alignment horizontal="center" readingOrder="0" shrinkToFit="0" vertical="center" wrapText="1"/>
    </xf>
    <xf borderId="0" fillId="42" fontId="27" numFmtId="0" xfId="0" applyAlignment="1" applyFill="1" applyFont="1">
      <alignment horizontal="center" readingOrder="0" shrinkToFit="0" vertical="center" wrapText="1"/>
    </xf>
    <xf borderId="0" fillId="43" fontId="28" numFmtId="0" xfId="0" applyAlignment="1" applyFill="1" applyFont="1">
      <alignment horizontal="center" readingOrder="0" shrinkToFit="0" vertical="center" wrapText="1"/>
    </xf>
    <xf borderId="0" fillId="44" fontId="29" numFmtId="0" xfId="0" applyAlignment="1" applyFill="1" applyFont="1">
      <alignment horizontal="center" readingOrder="0" shrinkToFit="0" vertical="center" wrapText="1"/>
    </xf>
    <xf borderId="0" fillId="45" fontId="30" numFmtId="0" xfId="0" applyAlignment="1" applyFill="1" applyFont="1">
      <alignment horizontal="center" readingOrder="0" shrinkToFit="0" vertical="center" wrapText="1"/>
    </xf>
    <xf borderId="0" fillId="46" fontId="31" numFmtId="0" xfId="0" applyAlignment="1" applyFill="1" applyFont="1">
      <alignment horizontal="center" readingOrder="0" shrinkToFit="0" vertical="center" wrapText="1"/>
    </xf>
    <xf borderId="0" fillId="47" fontId="23" numFmtId="0" xfId="0" applyAlignment="1" applyFill="1" applyFont="1">
      <alignment horizontal="center" readingOrder="0" shrinkToFit="0" vertical="center" wrapText="1"/>
    </xf>
    <xf borderId="0" fillId="48" fontId="4" numFmtId="0" xfId="0" applyAlignment="1" applyFill="1" applyFont="1">
      <alignment horizontal="center" readingOrder="0" shrinkToFit="0" vertical="center" wrapText="1"/>
    </xf>
    <xf borderId="0" fillId="49" fontId="32" numFmtId="0" xfId="0" applyAlignment="1" applyFill="1" applyFont="1">
      <alignment horizontal="center" readingOrder="0" shrinkToFit="0" vertical="center" wrapText="1"/>
    </xf>
    <xf borderId="0" fillId="50" fontId="33" numFmtId="0" xfId="0" applyAlignment="1" applyFill="1" applyFont="1">
      <alignment horizontal="center" readingOrder="0" shrinkToFit="0" vertical="center" wrapText="1"/>
    </xf>
    <xf borderId="0" fillId="51" fontId="11" numFmtId="0" xfId="0" applyAlignment="1" applyFill="1" applyFont="1">
      <alignment horizontal="center" readingOrder="0" shrinkToFit="0" vertical="center" wrapText="1"/>
    </xf>
    <xf borderId="0" fillId="52" fontId="34" numFmtId="0" xfId="0" applyAlignment="1" applyFill="1" applyFont="1">
      <alignment horizontal="center" readingOrder="0" shrinkToFit="0" vertical="center" wrapText="1"/>
    </xf>
    <xf borderId="0" fillId="53" fontId="35" numFmtId="0" xfId="0" applyAlignment="1" applyFill="1" applyFont="1">
      <alignment horizontal="center" readingOrder="0" shrinkToFit="0" vertical="center" wrapText="1"/>
    </xf>
    <xf borderId="0" fillId="54" fontId="15" numFmtId="0" xfId="0" applyAlignment="1" applyFill="1" applyFont="1">
      <alignment horizontal="center" readingOrder="0" shrinkToFit="0" vertical="center" wrapText="1"/>
    </xf>
    <xf borderId="0" fillId="55" fontId="20" numFmtId="0" xfId="0" applyAlignment="1" applyFill="1" applyFont="1">
      <alignment horizontal="center" readingOrder="0" shrinkToFit="0" vertical="center" wrapText="1"/>
    </xf>
    <xf borderId="0" fillId="56" fontId="25" numFmtId="0" xfId="0" applyAlignment="1" applyFill="1" applyFont="1">
      <alignment horizontal="center" readingOrder="0" shrinkToFit="0" vertical="center" wrapText="1"/>
    </xf>
    <xf borderId="0" fillId="57" fontId="35" numFmtId="0" xfId="0" applyAlignment="1" applyFill="1" applyFont="1">
      <alignment horizontal="center" readingOrder="0" shrinkToFit="0" vertical="center" wrapText="1"/>
    </xf>
    <xf borderId="0" fillId="58" fontId="36" numFmtId="0" xfId="0" applyAlignment="1" applyFill="1" applyFont="1">
      <alignment horizontal="center" readingOrder="0" shrinkToFit="0" vertical="center" wrapText="1"/>
    </xf>
    <xf borderId="0" fillId="59" fontId="37" numFmtId="0" xfId="0" applyAlignment="1" applyFill="1" applyFont="1">
      <alignment horizontal="center" readingOrder="0" shrinkToFit="0" vertical="center" wrapText="1"/>
    </xf>
    <xf borderId="0" fillId="60" fontId="38" numFmtId="0" xfId="0" applyAlignment="1" applyFill="1" applyFont="1">
      <alignment horizontal="center" readingOrder="0" shrinkToFit="0" vertical="center" wrapText="1"/>
    </xf>
    <xf borderId="0" fillId="61" fontId="23" numFmtId="0" xfId="0" applyAlignment="1" applyFill="1" applyFont="1">
      <alignment horizontal="center" readingOrder="0" shrinkToFit="0" vertical="center" wrapText="1"/>
    </xf>
    <xf borderId="0" fillId="62" fontId="39" numFmtId="0" xfId="0" applyAlignment="1" applyFill="1" applyFont="1">
      <alignment horizontal="center" readingOrder="0" shrinkToFit="0" vertical="center" wrapText="1"/>
    </xf>
    <xf borderId="0" fillId="63" fontId="21" numFmtId="0" xfId="0" applyAlignment="1" applyFill="1" applyFont="1">
      <alignment horizontal="center" readingOrder="0" shrinkToFit="0" vertical="center" wrapText="1"/>
    </xf>
    <xf borderId="0" fillId="64" fontId="40" numFmtId="0" xfId="0" applyAlignment="1" applyFill="1" applyFont="1">
      <alignment horizontal="center" readingOrder="0" shrinkToFit="0" vertical="center" wrapText="1"/>
    </xf>
    <xf borderId="0" fillId="65" fontId="25" numFmtId="0" xfId="0" applyAlignment="1" applyFill="1" applyFont="1">
      <alignment horizontal="center" readingOrder="0" shrinkToFit="0" vertical="center" wrapText="1"/>
    </xf>
    <xf borderId="0" fillId="66" fontId="4" numFmtId="0" xfId="0" applyAlignment="1" applyFill="1" applyFont="1">
      <alignment horizontal="center" readingOrder="0" shrinkToFit="0" vertical="center" wrapText="1"/>
    </xf>
    <xf borderId="0" fillId="67" fontId="24" numFmtId="0" xfId="0" applyAlignment="1" applyFill="1" applyFont="1">
      <alignment horizontal="center" readingOrder="0" shrinkToFit="0" vertical="center" wrapText="1"/>
    </xf>
    <xf borderId="0" fillId="68" fontId="41" numFmtId="0" xfId="0" applyAlignment="1" applyFill="1" applyFont="1">
      <alignment horizontal="center" readingOrder="0" shrinkToFit="0" vertical="center" wrapText="1"/>
    </xf>
    <xf borderId="0" fillId="69" fontId="6" numFmtId="0" xfId="0" applyAlignment="1" applyFill="1" applyFont="1">
      <alignment horizontal="center" readingOrder="0" shrinkToFit="0" vertical="center" wrapText="1"/>
    </xf>
    <xf borderId="0" fillId="70" fontId="42" numFmtId="0" xfId="0" applyAlignment="1" applyFill="1" applyFont="1">
      <alignment horizontal="center" readingOrder="0" shrinkToFit="0" vertical="center" wrapText="1"/>
    </xf>
    <xf borderId="0" fillId="71" fontId="37" numFmtId="0" xfId="0" applyAlignment="1" applyFill="1" applyFont="1">
      <alignment horizontal="center" readingOrder="0" shrinkToFit="0" vertical="center" wrapText="1"/>
    </xf>
    <xf borderId="0" fillId="72" fontId="40" numFmtId="0" xfId="0" applyAlignment="1" applyFill="1" applyFont="1">
      <alignment horizontal="center" readingOrder="0" shrinkToFit="0" vertical="center" wrapText="1"/>
    </xf>
    <xf borderId="0" fillId="73" fontId="43" numFmtId="0" xfId="0" applyAlignment="1" applyFill="1" applyFont="1">
      <alignment horizontal="center" readingOrder="0" shrinkToFit="0" vertical="center" wrapText="1"/>
    </xf>
    <xf borderId="3" fillId="29" fontId="7" numFmtId="0" xfId="0" applyAlignment="1" applyBorder="1" applyFill="1" applyFont="1">
      <alignment horizontal="center" readingOrder="0" shrinkToFit="0" vertical="center" wrapText="1"/>
    </xf>
    <xf borderId="4" fillId="74" fontId="40" numFmtId="0" xfId="0" applyAlignment="1" applyBorder="1" applyFill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3" fillId="17" fontId="7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7" fillId="13" fontId="2" numFmtId="0" xfId="0" applyAlignment="1" applyBorder="1" applyFill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0" fillId="75" fontId="2" numFmtId="0" xfId="0" applyAlignment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63"/>
    <col customWidth="1" min="2" max="2" width="10.75"/>
    <col customWidth="1" min="3" max="3" width="12.63"/>
    <col customWidth="1" min="4" max="9" width="13.63"/>
    <col customWidth="1" min="10" max="12" width="18.75"/>
    <col customWidth="1" min="13" max="13" width="15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15">
        <v>67.0</v>
      </c>
      <c r="C2" s="16">
        <v>2.0</v>
      </c>
      <c r="D2" s="17">
        <f t="shared" ref="D2:D58" si="1">B2*2*C2</f>
        <v>268</v>
      </c>
      <c r="E2" s="18">
        <f t="shared" ref="E2:E58" si="2">B2*3*C2</f>
        <v>402</v>
      </c>
      <c r="F2" s="18">
        <f t="shared" ref="F2:F58" si="3">B2*1*C2</f>
        <v>134</v>
      </c>
      <c r="G2" s="18">
        <f t="shared" ref="G2:G58" si="4">B2*2*C2</f>
        <v>268</v>
      </c>
      <c r="H2" s="18">
        <f t="shared" ref="H2:H58" si="5">B2*3*C2</f>
        <v>402</v>
      </c>
      <c r="I2" s="19">
        <f t="shared" ref="I2:I58" si="6">B2*5*C2</f>
        <v>670</v>
      </c>
      <c r="J2" s="17">
        <f t="shared" ref="J2:J58" si="7">B2*2*C2</f>
        <v>268</v>
      </c>
      <c r="K2" s="18">
        <f t="shared" ref="K2:K58" si="8">B2*3*C2</f>
        <v>402</v>
      </c>
      <c r="L2" s="19">
        <f t="shared" ref="L2:L58" si="9">B2*5*C2</f>
        <v>670</v>
      </c>
      <c r="M2" s="17">
        <f t="shared" ref="M2:M59" si="10">SUM(D2:L2)</f>
        <v>3484</v>
      </c>
    </row>
    <row r="3">
      <c r="A3" s="20" t="s">
        <v>14</v>
      </c>
      <c r="B3" s="15">
        <v>30.0</v>
      </c>
      <c r="C3" s="21">
        <v>1.0</v>
      </c>
      <c r="D3" s="17">
        <f t="shared" si="1"/>
        <v>60</v>
      </c>
      <c r="E3" s="18">
        <f t="shared" si="2"/>
        <v>90</v>
      </c>
      <c r="F3" s="18">
        <f t="shared" si="3"/>
        <v>30</v>
      </c>
      <c r="G3" s="18">
        <f t="shared" si="4"/>
        <v>60</v>
      </c>
      <c r="H3" s="18">
        <f t="shared" si="5"/>
        <v>90</v>
      </c>
      <c r="I3" s="19">
        <f t="shared" si="6"/>
        <v>150</v>
      </c>
      <c r="J3" s="17">
        <f t="shared" si="7"/>
        <v>60</v>
      </c>
      <c r="K3" s="18">
        <f t="shared" si="8"/>
        <v>90</v>
      </c>
      <c r="L3" s="19">
        <f t="shared" si="9"/>
        <v>150</v>
      </c>
      <c r="M3" s="17">
        <f t="shared" si="10"/>
        <v>780</v>
      </c>
    </row>
    <row r="4">
      <c r="A4" s="22" t="s">
        <v>15</v>
      </c>
      <c r="B4" s="15">
        <v>5.0</v>
      </c>
      <c r="C4" s="21">
        <v>1.0</v>
      </c>
      <c r="D4" s="17">
        <f t="shared" si="1"/>
        <v>10</v>
      </c>
      <c r="E4" s="18">
        <f t="shared" si="2"/>
        <v>15</v>
      </c>
      <c r="F4" s="18">
        <f t="shared" si="3"/>
        <v>5</v>
      </c>
      <c r="G4" s="18">
        <f t="shared" si="4"/>
        <v>10</v>
      </c>
      <c r="H4" s="18">
        <f t="shared" si="5"/>
        <v>15</v>
      </c>
      <c r="I4" s="19">
        <f t="shared" si="6"/>
        <v>25</v>
      </c>
      <c r="J4" s="17">
        <f t="shared" si="7"/>
        <v>10</v>
      </c>
      <c r="K4" s="18">
        <f t="shared" si="8"/>
        <v>15</v>
      </c>
      <c r="L4" s="19">
        <f t="shared" si="9"/>
        <v>25</v>
      </c>
      <c r="M4" s="17">
        <f t="shared" si="10"/>
        <v>130</v>
      </c>
    </row>
    <row r="5">
      <c r="A5" s="23" t="s">
        <v>16</v>
      </c>
      <c r="B5" s="15">
        <v>15.0</v>
      </c>
      <c r="C5" s="21">
        <v>1.0</v>
      </c>
      <c r="D5" s="17">
        <f t="shared" si="1"/>
        <v>30</v>
      </c>
      <c r="E5" s="18">
        <f t="shared" si="2"/>
        <v>45</v>
      </c>
      <c r="F5" s="18">
        <f t="shared" si="3"/>
        <v>15</v>
      </c>
      <c r="G5" s="18">
        <f t="shared" si="4"/>
        <v>30</v>
      </c>
      <c r="H5" s="18">
        <f t="shared" si="5"/>
        <v>45</v>
      </c>
      <c r="I5" s="19">
        <f t="shared" si="6"/>
        <v>75</v>
      </c>
      <c r="J5" s="17">
        <f t="shared" si="7"/>
        <v>30</v>
      </c>
      <c r="K5" s="18">
        <f t="shared" si="8"/>
        <v>45</v>
      </c>
      <c r="L5" s="19">
        <f t="shared" si="9"/>
        <v>75</v>
      </c>
      <c r="M5" s="17">
        <f t="shared" si="10"/>
        <v>390</v>
      </c>
    </row>
    <row r="6">
      <c r="A6" s="24" t="s">
        <v>17</v>
      </c>
      <c r="B6" s="15">
        <v>75.0</v>
      </c>
      <c r="C6" s="16">
        <v>2.0</v>
      </c>
      <c r="D6" s="17">
        <f t="shared" si="1"/>
        <v>300</v>
      </c>
      <c r="E6" s="18">
        <f t="shared" si="2"/>
        <v>450</v>
      </c>
      <c r="F6" s="18">
        <f t="shared" si="3"/>
        <v>150</v>
      </c>
      <c r="G6" s="18">
        <f t="shared" si="4"/>
        <v>300</v>
      </c>
      <c r="H6" s="18">
        <f t="shared" si="5"/>
        <v>450</v>
      </c>
      <c r="I6" s="19">
        <f t="shared" si="6"/>
        <v>750</v>
      </c>
      <c r="J6" s="17">
        <f t="shared" si="7"/>
        <v>300</v>
      </c>
      <c r="K6" s="18">
        <f t="shared" si="8"/>
        <v>450</v>
      </c>
      <c r="L6" s="19">
        <f t="shared" si="9"/>
        <v>750</v>
      </c>
      <c r="M6" s="17">
        <f t="shared" si="10"/>
        <v>3900</v>
      </c>
    </row>
    <row r="7">
      <c r="A7" s="25" t="s">
        <v>18</v>
      </c>
      <c r="B7" s="15">
        <v>58.0</v>
      </c>
      <c r="C7" s="16">
        <v>2.0</v>
      </c>
      <c r="D7" s="17">
        <f t="shared" si="1"/>
        <v>232</v>
      </c>
      <c r="E7" s="18">
        <f t="shared" si="2"/>
        <v>348</v>
      </c>
      <c r="F7" s="18">
        <f t="shared" si="3"/>
        <v>116</v>
      </c>
      <c r="G7" s="18">
        <f t="shared" si="4"/>
        <v>232</v>
      </c>
      <c r="H7" s="18">
        <f t="shared" si="5"/>
        <v>348</v>
      </c>
      <c r="I7" s="19">
        <f t="shared" si="6"/>
        <v>580</v>
      </c>
      <c r="J7" s="17">
        <f t="shared" si="7"/>
        <v>232</v>
      </c>
      <c r="K7" s="18">
        <f t="shared" si="8"/>
        <v>348</v>
      </c>
      <c r="L7" s="19">
        <f t="shared" si="9"/>
        <v>580</v>
      </c>
      <c r="M7" s="17">
        <f t="shared" si="10"/>
        <v>3016</v>
      </c>
    </row>
    <row r="8">
      <c r="A8" s="26" t="s">
        <v>19</v>
      </c>
      <c r="B8" s="15">
        <v>64.0</v>
      </c>
      <c r="C8" s="16">
        <v>2.0</v>
      </c>
      <c r="D8" s="17">
        <f t="shared" si="1"/>
        <v>256</v>
      </c>
      <c r="E8" s="18">
        <f t="shared" si="2"/>
        <v>384</v>
      </c>
      <c r="F8" s="18">
        <f t="shared" si="3"/>
        <v>128</v>
      </c>
      <c r="G8" s="18">
        <f t="shared" si="4"/>
        <v>256</v>
      </c>
      <c r="H8" s="18">
        <f t="shared" si="5"/>
        <v>384</v>
      </c>
      <c r="I8" s="19">
        <f t="shared" si="6"/>
        <v>640</v>
      </c>
      <c r="J8" s="17">
        <f t="shared" si="7"/>
        <v>256</v>
      </c>
      <c r="K8" s="18">
        <f t="shared" si="8"/>
        <v>384</v>
      </c>
      <c r="L8" s="19">
        <f t="shared" si="9"/>
        <v>640</v>
      </c>
      <c r="M8" s="17">
        <f t="shared" si="10"/>
        <v>3328</v>
      </c>
    </row>
    <row r="9">
      <c r="A9" s="27" t="s">
        <v>20</v>
      </c>
      <c r="B9" s="15">
        <v>9.0</v>
      </c>
      <c r="C9" s="21">
        <v>1.0</v>
      </c>
      <c r="D9" s="17">
        <f t="shared" si="1"/>
        <v>18</v>
      </c>
      <c r="E9" s="18">
        <f t="shared" si="2"/>
        <v>27</v>
      </c>
      <c r="F9" s="18">
        <f t="shared" si="3"/>
        <v>9</v>
      </c>
      <c r="G9" s="18">
        <f t="shared" si="4"/>
        <v>18</v>
      </c>
      <c r="H9" s="18">
        <f t="shared" si="5"/>
        <v>27</v>
      </c>
      <c r="I9" s="19">
        <f t="shared" si="6"/>
        <v>45</v>
      </c>
      <c r="J9" s="17">
        <f t="shared" si="7"/>
        <v>18</v>
      </c>
      <c r="K9" s="18">
        <f t="shared" si="8"/>
        <v>27</v>
      </c>
      <c r="L9" s="19">
        <f t="shared" si="9"/>
        <v>45</v>
      </c>
      <c r="M9" s="17">
        <f t="shared" si="10"/>
        <v>234</v>
      </c>
    </row>
    <row r="10">
      <c r="A10" s="28" t="s">
        <v>21</v>
      </c>
      <c r="B10" s="15">
        <v>3.0</v>
      </c>
      <c r="C10" s="21">
        <v>1.0</v>
      </c>
      <c r="D10" s="17">
        <f t="shared" si="1"/>
        <v>6</v>
      </c>
      <c r="E10" s="18">
        <f t="shared" si="2"/>
        <v>9</v>
      </c>
      <c r="F10" s="18">
        <f t="shared" si="3"/>
        <v>3</v>
      </c>
      <c r="G10" s="18">
        <f t="shared" si="4"/>
        <v>6</v>
      </c>
      <c r="H10" s="18">
        <f t="shared" si="5"/>
        <v>9</v>
      </c>
      <c r="I10" s="19">
        <f t="shared" si="6"/>
        <v>15</v>
      </c>
      <c r="J10" s="17">
        <f t="shared" si="7"/>
        <v>6</v>
      </c>
      <c r="K10" s="18">
        <f t="shared" si="8"/>
        <v>9</v>
      </c>
      <c r="L10" s="19">
        <f t="shared" si="9"/>
        <v>15</v>
      </c>
      <c r="M10" s="17">
        <f t="shared" si="10"/>
        <v>78</v>
      </c>
    </row>
    <row r="11">
      <c r="A11" s="29" t="s">
        <v>22</v>
      </c>
      <c r="B11" s="15">
        <v>1.0</v>
      </c>
      <c r="C11" s="30">
        <v>0.0</v>
      </c>
      <c r="D11" s="31">
        <f t="shared" si="1"/>
        <v>0</v>
      </c>
      <c r="E11" s="32">
        <f t="shared" si="2"/>
        <v>0</v>
      </c>
      <c r="F11" s="32">
        <f t="shared" si="3"/>
        <v>0</v>
      </c>
      <c r="G11" s="32">
        <f t="shared" si="4"/>
        <v>0</v>
      </c>
      <c r="H11" s="32">
        <f t="shared" si="5"/>
        <v>0</v>
      </c>
      <c r="I11" s="33">
        <f t="shared" si="6"/>
        <v>0</v>
      </c>
      <c r="J11" s="31">
        <f t="shared" si="7"/>
        <v>0</v>
      </c>
      <c r="K11" s="32">
        <f t="shared" si="8"/>
        <v>0</v>
      </c>
      <c r="L11" s="33">
        <f t="shared" si="9"/>
        <v>0</v>
      </c>
      <c r="M11" s="31">
        <f t="shared" si="10"/>
        <v>0</v>
      </c>
    </row>
    <row r="12">
      <c r="A12" s="34" t="s">
        <v>23</v>
      </c>
      <c r="B12" s="15">
        <v>67.0</v>
      </c>
      <c r="C12" s="16">
        <v>2.0</v>
      </c>
      <c r="D12" s="17">
        <f t="shared" si="1"/>
        <v>268</v>
      </c>
      <c r="E12" s="18">
        <f t="shared" si="2"/>
        <v>402</v>
      </c>
      <c r="F12" s="18">
        <f t="shared" si="3"/>
        <v>134</v>
      </c>
      <c r="G12" s="18">
        <f t="shared" si="4"/>
        <v>268</v>
      </c>
      <c r="H12" s="18">
        <f t="shared" si="5"/>
        <v>402</v>
      </c>
      <c r="I12" s="19">
        <f t="shared" si="6"/>
        <v>670</v>
      </c>
      <c r="J12" s="17">
        <f t="shared" si="7"/>
        <v>268</v>
      </c>
      <c r="K12" s="18">
        <f t="shared" si="8"/>
        <v>402</v>
      </c>
      <c r="L12" s="19">
        <f t="shared" si="9"/>
        <v>670</v>
      </c>
      <c r="M12" s="17">
        <f t="shared" si="10"/>
        <v>3484</v>
      </c>
    </row>
    <row r="13">
      <c r="A13" s="35" t="s">
        <v>24</v>
      </c>
      <c r="B13" s="15">
        <v>159.0</v>
      </c>
      <c r="C13" s="36">
        <v>3.0</v>
      </c>
      <c r="D13" s="17">
        <f t="shared" si="1"/>
        <v>954</v>
      </c>
      <c r="E13" s="18">
        <f t="shared" si="2"/>
        <v>1431</v>
      </c>
      <c r="F13" s="18">
        <f t="shared" si="3"/>
        <v>477</v>
      </c>
      <c r="G13" s="18">
        <f t="shared" si="4"/>
        <v>954</v>
      </c>
      <c r="H13" s="18">
        <f t="shared" si="5"/>
        <v>1431</v>
      </c>
      <c r="I13" s="19">
        <f t="shared" si="6"/>
        <v>2385</v>
      </c>
      <c r="J13" s="17">
        <f t="shared" si="7"/>
        <v>954</v>
      </c>
      <c r="K13" s="18">
        <f t="shared" si="8"/>
        <v>1431</v>
      </c>
      <c r="L13" s="19">
        <f t="shared" si="9"/>
        <v>2385</v>
      </c>
      <c r="M13" s="17">
        <f t="shared" si="10"/>
        <v>12402</v>
      </c>
    </row>
    <row r="14">
      <c r="A14" s="37" t="s">
        <v>25</v>
      </c>
      <c r="B14" s="15">
        <v>1.0</v>
      </c>
      <c r="C14" s="30">
        <v>0.0</v>
      </c>
      <c r="D14" s="31">
        <f t="shared" si="1"/>
        <v>0</v>
      </c>
      <c r="E14" s="32">
        <f t="shared" si="2"/>
        <v>0</v>
      </c>
      <c r="F14" s="32">
        <f t="shared" si="3"/>
        <v>0</v>
      </c>
      <c r="G14" s="32">
        <f t="shared" si="4"/>
        <v>0</v>
      </c>
      <c r="H14" s="32">
        <f t="shared" si="5"/>
        <v>0</v>
      </c>
      <c r="I14" s="33">
        <f t="shared" si="6"/>
        <v>0</v>
      </c>
      <c r="J14" s="31">
        <f t="shared" si="7"/>
        <v>0</v>
      </c>
      <c r="K14" s="32">
        <f t="shared" si="8"/>
        <v>0</v>
      </c>
      <c r="L14" s="33">
        <f t="shared" si="9"/>
        <v>0</v>
      </c>
      <c r="M14" s="31">
        <f t="shared" si="10"/>
        <v>0</v>
      </c>
    </row>
    <row r="15">
      <c r="A15" s="38" t="s">
        <v>26</v>
      </c>
      <c r="B15" s="15">
        <v>5.0</v>
      </c>
      <c r="C15" s="21">
        <v>1.0</v>
      </c>
      <c r="D15" s="17">
        <f t="shared" si="1"/>
        <v>10</v>
      </c>
      <c r="E15" s="18">
        <f t="shared" si="2"/>
        <v>15</v>
      </c>
      <c r="F15" s="18">
        <f t="shared" si="3"/>
        <v>5</v>
      </c>
      <c r="G15" s="18">
        <f t="shared" si="4"/>
        <v>10</v>
      </c>
      <c r="H15" s="18">
        <f t="shared" si="5"/>
        <v>15</v>
      </c>
      <c r="I15" s="19">
        <f t="shared" si="6"/>
        <v>25</v>
      </c>
      <c r="J15" s="17">
        <f t="shared" si="7"/>
        <v>10</v>
      </c>
      <c r="K15" s="18">
        <f t="shared" si="8"/>
        <v>15</v>
      </c>
      <c r="L15" s="19">
        <f t="shared" si="9"/>
        <v>25</v>
      </c>
      <c r="M15" s="17">
        <f t="shared" si="10"/>
        <v>130</v>
      </c>
    </row>
    <row r="16">
      <c r="A16" s="39" t="s">
        <v>27</v>
      </c>
      <c r="B16" s="15">
        <v>44.0</v>
      </c>
      <c r="C16" s="21">
        <v>1.0</v>
      </c>
      <c r="D16" s="17">
        <f t="shared" si="1"/>
        <v>88</v>
      </c>
      <c r="E16" s="18">
        <f t="shared" si="2"/>
        <v>132</v>
      </c>
      <c r="F16" s="18">
        <f t="shared" si="3"/>
        <v>44</v>
      </c>
      <c r="G16" s="18">
        <f t="shared" si="4"/>
        <v>88</v>
      </c>
      <c r="H16" s="18">
        <f t="shared" si="5"/>
        <v>132</v>
      </c>
      <c r="I16" s="19">
        <f t="shared" si="6"/>
        <v>220</v>
      </c>
      <c r="J16" s="17">
        <f t="shared" si="7"/>
        <v>88</v>
      </c>
      <c r="K16" s="18">
        <f t="shared" si="8"/>
        <v>132</v>
      </c>
      <c r="L16" s="19">
        <f t="shared" si="9"/>
        <v>220</v>
      </c>
      <c r="M16" s="17">
        <f t="shared" si="10"/>
        <v>1144</v>
      </c>
    </row>
    <row r="17">
      <c r="A17" s="40" t="s">
        <v>28</v>
      </c>
      <c r="B17" s="15">
        <v>102.0</v>
      </c>
      <c r="C17" s="41">
        <v>4.0</v>
      </c>
      <c r="D17" s="17">
        <f t="shared" si="1"/>
        <v>816</v>
      </c>
      <c r="E17" s="18">
        <f t="shared" si="2"/>
        <v>1224</v>
      </c>
      <c r="F17" s="18">
        <f t="shared" si="3"/>
        <v>408</v>
      </c>
      <c r="G17" s="18">
        <f t="shared" si="4"/>
        <v>816</v>
      </c>
      <c r="H17" s="18">
        <f t="shared" si="5"/>
        <v>1224</v>
      </c>
      <c r="I17" s="19">
        <f t="shared" si="6"/>
        <v>2040</v>
      </c>
      <c r="J17" s="17">
        <f t="shared" si="7"/>
        <v>816</v>
      </c>
      <c r="K17" s="18">
        <f t="shared" si="8"/>
        <v>1224</v>
      </c>
      <c r="L17" s="19">
        <f t="shared" si="9"/>
        <v>2040</v>
      </c>
      <c r="M17" s="17">
        <f t="shared" si="10"/>
        <v>10608</v>
      </c>
    </row>
    <row r="18">
      <c r="A18" s="42" t="s">
        <v>29</v>
      </c>
      <c r="B18" s="15">
        <v>92.0</v>
      </c>
      <c r="C18" s="41">
        <v>4.0</v>
      </c>
      <c r="D18" s="17">
        <f t="shared" si="1"/>
        <v>736</v>
      </c>
      <c r="E18" s="18">
        <f t="shared" si="2"/>
        <v>1104</v>
      </c>
      <c r="F18" s="18">
        <f t="shared" si="3"/>
        <v>368</v>
      </c>
      <c r="G18" s="18">
        <f t="shared" si="4"/>
        <v>736</v>
      </c>
      <c r="H18" s="18">
        <f t="shared" si="5"/>
        <v>1104</v>
      </c>
      <c r="I18" s="19">
        <f t="shared" si="6"/>
        <v>1840</v>
      </c>
      <c r="J18" s="17">
        <f t="shared" si="7"/>
        <v>736</v>
      </c>
      <c r="K18" s="18">
        <f t="shared" si="8"/>
        <v>1104</v>
      </c>
      <c r="L18" s="19">
        <f t="shared" si="9"/>
        <v>1840</v>
      </c>
      <c r="M18" s="17">
        <f t="shared" si="10"/>
        <v>9568</v>
      </c>
    </row>
    <row r="19">
      <c r="A19" s="43" t="s">
        <v>30</v>
      </c>
      <c r="B19" s="15">
        <v>99.0</v>
      </c>
      <c r="C19" s="41">
        <v>4.0</v>
      </c>
      <c r="D19" s="17">
        <f t="shared" si="1"/>
        <v>792</v>
      </c>
      <c r="E19" s="18">
        <f t="shared" si="2"/>
        <v>1188</v>
      </c>
      <c r="F19" s="18">
        <f t="shared" si="3"/>
        <v>396</v>
      </c>
      <c r="G19" s="18">
        <f t="shared" si="4"/>
        <v>792</v>
      </c>
      <c r="H19" s="18">
        <f t="shared" si="5"/>
        <v>1188</v>
      </c>
      <c r="I19" s="19">
        <f t="shared" si="6"/>
        <v>1980</v>
      </c>
      <c r="J19" s="17">
        <f t="shared" si="7"/>
        <v>792</v>
      </c>
      <c r="K19" s="18">
        <f t="shared" si="8"/>
        <v>1188</v>
      </c>
      <c r="L19" s="19">
        <f t="shared" si="9"/>
        <v>1980</v>
      </c>
      <c r="M19" s="17">
        <f t="shared" si="10"/>
        <v>10296</v>
      </c>
    </row>
    <row r="20">
      <c r="A20" s="44" t="s">
        <v>31</v>
      </c>
      <c r="B20" s="15">
        <v>105.0</v>
      </c>
      <c r="C20" s="41">
        <v>4.0</v>
      </c>
      <c r="D20" s="17">
        <f t="shared" si="1"/>
        <v>840</v>
      </c>
      <c r="E20" s="18">
        <f t="shared" si="2"/>
        <v>1260</v>
      </c>
      <c r="F20" s="18">
        <f t="shared" si="3"/>
        <v>420</v>
      </c>
      <c r="G20" s="18">
        <f t="shared" si="4"/>
        <v>840</v>
      </c>
      <c r="H20" s="18">
        <f t="shared" si="5"/>
        <v>1260</v>
      </c>
      <c r="I20" s="19">
        <f t="shared" si="6"/>
        <v>2100</v>
      </c>
      <c r="J20" s="17">
        <f t="shared" si="7"/>
        <v>840</v>
      </c>
      <c r="K20" s="18">
        <f t="shared" si="8"/>
        <v>1260</v>
      </c>
      <c r="L20" s="19">
        <f t="shared" si="9"/>
        <v>2100</v>
      </c>
      <c r="M20" s="17">
        <f t="shared" si="10"/>
        <v>10920</v>
      </c>
    </row>
    <row r="21">
      <c r="A21" s="45" t="s">
        <v>32</v>
      </c>
      <c r="B21" s="15">
        <v>120.0</v>
      </c>
      <c r="C21" s="36">
        <v>3.0</v>
      </c>
      <c r="D21" s="17">
        <f t="shared" si="1"/>
        <v>720</v>
      </c>
      <c r="E21" s="18">
        <f t="shared" si="2"/>
        <v>1080</v>
      </c>
      <c r="F21" s="18">
        <f t="shared" si="3"/>
        <v>360</v>
      </c>
      <c r="G21" s="18">
        <f t="shared" si="4"/>
        <v>720</v>
      </c>
      <c r="H21" s="18">
        <f t="shared" si="5"/>
        <v>1080</v>
      </c>
      <c r="I21" s="19">
        <f t="shared" si="6"/>
        <v>1800</v>
      </c>
      <c r="J21" s="17">
        <f t="shared" si="7"/>
        <v>720</v>
      </c>
      <c r="K21" s="18">
        <f t="shared" si="8"/>
        <v>1080</v>
      </c>
      <c r="L21" s="19">
        <f t="shared" si="9"/>
        <v>1800</v>
      </c>
      <c r="M21" s="17">
        <f t="shared" si="10"/>
        <v>9360</v>
      </c>
    </row>
    <row r="22">
      <c r="A22" s="46" t="s">
        <v>33</v>
      </c>
      <c r="B22" s="15">
        <v>64.0</v>
      </c>
      <c r="C22" s="16">
        <v>2.0</v>
      </c>
      <c r="D22" s="17">
        <f t="shared" si="1"/>
        <v>256</v>
      </c>
      <c r="E22" s="18">
        <f t="shared" si="2"/>
        <v>384</v>
      </c>
      <c r="F22" s="18">
        <f t="shared" si="3"/>
        <v>128</v>
      </c>
      <c r="G22" s="18">
        <f t="shared" si="4"/>
        <v>256</v>
      </c>
      <c r="H22" s="18">
        <f t="shared" si="5"/>
        <v>384</v>
      </c>
      <c r="I22" s="19">
        <f t="shared" si="6"/>
        <v>640</v>
      </c>
      <c r="J22" s="17">
        <f t="shared" si="7"/>
        <v>256</v>
      </c>
      <c r="K22" s="18">
        <f t="shared" si="8"/>
        <v>384</v>
      </c>
      <c r="L22" s="19">
        <f t="shared" si="9"/>
        <v>640</v>
      </c>
      <c r="M22" s="17">
        <f t="shared" si="10"/>
        <v>3328</v>
      </c>
    </row>
    <row r="23">
      <c r="A23" s="47" t="s">
        <v>34</v>
      </c>
      <c r="B23" s="15">
        <v>16.0</v>
      </c>
      <c r="C23" s="21">
        <v>1.0</v>
      </c>
      <c r="D23" s="17">
        <f t="shared" si="1"/>
        <v>32</v>
      </c>
      <c r="E23" s="18">
        <f t="shared" si="2"/>
        <v>48</v>
      </c>
      <c r="F23" s="18">
        <f t="shared" si="3"/>
        <v>16</v>
      </c>
      <c r="G23" s="18">
        <f t="shared" si="4"/>
        <v>32</v>
      </c>
      <c r="H23" s="18">
        <f t="shared" si="5"/>
        <v>48</v>
      </c>
      <c r="I23" s="19">
        <f t="shared" si="6"/>
        <v>80</v>
      </c>
      <c r="J23" s="17">
        <f t="shared" si="7"/>
        <v>32</v>
      </c>
      <c r="K23" s="18">
        <f t="shared" si="8"/>
        <v>48</v>
      </c>
      <c r="L23" s="19">
        <f t="shared" si="9"/>
        <v>80</v>
      </c>
      <c r="M23" s="17">
        <f t="shared" si="10"/>
        <v>416</v>
      </c>
    </row>
    <row r="24">
      <c r="A24" s="48" t="s">
        <v>35</v>
      </c>
      <c r="B24" s="15">
        <v>24.0</v>
      </c>
      <c r="C24" s="21">
        <v>1.0</v>
      </c>
      <c r="D24" s="17">
        <f t="shared" si="1"/>
        <v>48</v>
      </c>
      <c r="E24" s="18">
        <f t="shared" si="2"/>
        <v>72</v>
      </c>
      <c r="F24" s="18">
        <f t="shared" si="3"/>
        <v>24</v>
      </c>
      <c r="G24" s="18">
        <f t="shared" si="4"/>
        <v>48</v>
      </c>
      <c r="H24" s="18">
        <f t="shared" si="5"/>
        <v>72</v>
      </c>
      <c r="I24" s="19">
        <f t="shared" si="6"/>
        <v>120</v>
      </c>
      <c r="J24" s="17">
        <f t="shared" si="7"/>
        <v>48</v>
      </c>
      <c r="K24" s="18">
        <f t="shared" si="8"/>
        <v>72</v>
      </c>
      <c r="L24" s="19">
        <f t="shared" si="9"/>
        <v>120</v>
      </c>
      <c r="M24" s="17">
        <f t="shared" si="10"/>
        <v>624</v>
      </c>
    </row>
    <row r="25">
      <c r="A25" s="49" t="s">
        <v>36</v>
      </c>
      <c r="B25" s="15">
        <v>14.0</v>
      </c>
      <c r="C25" s="21">
        <v>1.0</v>
      </c>
      <c r="D25" s="17">
        <f t="shared" si="1"/>
        <v>28</v>
      </c>
      <c r="E25" s="18">
        <f t="shared" si="2"/>
        <v>42</v>
      </c>
      <c r="F25" s="18">
        <f t="shared" si="3"/>
        <v>14</v>
      </c>
      <c r="G25" s="18">
        <f t="shared" si="4"/>
        <v>28</v>
      </c>
      <c r="H25" s="18">
        <f t="shared" si="5"/>
        <v>42</v>
      </c>
      <c r="I25" s="19">
        <f t="shared" si="6"/>
        <v>70</v>
      </c>
      <c r="J25" s="17">
        <f t="shared" si="7"/>
        <v>28</v>
      </c>
      <c r="K25" s="18">
        <f t="shared" si="8"/>
        <v>42</v>
      </c>
      <c r="L25" s="19">
        <f t="shared" si="9"/>
        <v>70</v>
      </c>
      <c r="M25" s="17">
        <f t="shared" si="10"/>
        <v>364</v>
      </c>
    </row>
    <row r="26">
      <c r="A26" s="50" t="s">
        <v>37</v>
      </c>
      <c r="B26" s="15">
        <v>83.0</v>
      </c>
      <c r="C26" s="36">
        <v>3.0</v>
      </c>
      <c r="D26" s="17">
        <f t="shared" si="1"/>
        <v>498</v>
      </c>
      <c r="E26" s="18">
        <f t="shared" si="2"/>
        <v>747</v>
      </c>
      <c r="F26" s="18">
        <f t="shared" si="3"/>
        <v>249</v>
      </c>
      <c r="G26" s="18">
        <f t="shared" si="4"/>
        <v>498</v>
      </c>
      <c r="H26" s="18">
        <f t="shared" si="5"/>
        <v>747</v>
      </c>
      <c r="I26" s="19">
        <f t="shared" si="6"/>
        <v>1245</v>
      </c>
      <c r="J26" s="17">
        <f t="shared" si="7"/>
        <v>498</v>
      </c>
      <c r="K26" s="18">
        <f t="shared" si="8"/>
        <v>747</v>
      </c>
      <c r="L26" s="19">
        <f t="shared" si="9"/>
        <v>1245</v>
      </c>
      <c r="M26" s="17">
        <f t="shared" si="10"/>
        <v>6474</v>
      </c>
    </row>
    <row r="27">
      <c r="A27" s="51" t="s">
        <v>38</v>
      </c>
      <c r="B27" s="15">
        <v>87.0</v>
      </c>
      <c r="C27" s="36">
        <v>3.0</v>
      </c>
      <c r="D27" s="17">
        <f t="shared" si="1"/>
        <v>522</v>
      </c>
      <c r="E27" s="18">
        <f t="shared" si="2"/>
        <v>783</v>
      </c>
      <c r="F27" s="18">
        <f t="shared" si="3"/>
        <v>261</v>
      </c>
      <c r="G27" s="18">
        <f t="shared" si="4"/>
        <v>522</v>
      </c>
      <c r="H27" s="18">
        <f t="shared" si="5"/>
        <v>783</v>
      </c>
      <c r="I27" s="19">
        <f t="shared" si="6"/>
        <v>1305</v>
      </c>
      <c r="J27" s="17">
        <f t="shared" si="7"/>
        <v>522</v>
      </c>
      <c r="K27" s="18">
        <f t="shared" si="8"/>
        <v>783</v>
      </c>
      <c r="L27" s="19">
        <f t="shared" si="9"/>
        <v>1305</v>
      </c>
      <c r="M27" s="17">
        <f t="shared" si="10"/>
        <v>6786</v>
      </c>
    </row>
    <row r="28">
      <c r="A28" s="52" t="s">
        <v>39</v>
      </c>
      <c r="B28" s="15">
        <v>82.0</v>
      </c>
      <c r="C28" s="36">
        <v>3.0</v>
      </c>
      <c r="D28" s="17">
        <f t="shared" si="1"/>
        <v>492</v>
      </c>
      <c r="E28" s="18">
        <f t="shared" si="2"/>
        <v>738</v>
      </c>
      <c r="F28" s="18">
        <f t="shared" si="3"/>
        <v>246</v>
      </c>
      <c r="G28" s="18">
        <f t="shared" si="4"/>
        <v>492</v>
      </c>
      <c r="H28" s="18">
        <f t="shared" si="5"/>
        <v>738</v>
      </c>
      <c r="I28" s="19">
        <f t="shared" si="6"/>
        <v>1230</v>
      </c>
      <c r="J28" s="17">
        <f t="shared" si="7"/>
        <v>492</v>
      </c>
      <c r="K28" s="18">
        <f t="shared" si="8"/>
        <v>738</v>
      </c>
      <c r="L28" s="19">
        <f t="shared" si="9"/>
        <v>1230</v>
      </c>
      <c r="M28" s="17">
        <f t="shared" si="10"/>
        <v>6396</v>
      </c>
    </row>
    <row r="29">
      <c r="A29" s="53" t="s">
        <v>40</v>
      </c>
      <c r="B29" s="15">
        <v>115.0</v>
      </c>
      <c r="C29" s="41">
        <v>4.0</v>
      </c>
      <c r="D29" s="17">
        <f t="shared" si="1"/>
        <v>920</v>
      </c>
      <c r="E29" s="18">
        <f t="shared" si="2"/>
        <v>1380</v>
      </c>
      <c r="F29" s="18">
        <f t="shared" si="3"/>
        <v>460</v>
      </c>
      <c r="G29" s="18">
        <f t="shared" si="4"/>
        <v>920</v>
      </c>
      <c r="H29" s="18">
        <f t="shared" si="5"/>
        <v>1380</v>
      </c>
      <c r="I29" s="19">
        <f t="shared" si="6"/>
        <v>2300</v>
      </c>
      <c r="J29" s="17">
        <f t="shared" si="7"/>
        <v>920</v>
      </c>
      <c r="K29" s="18">
        <f t="shared" si="8"/>
        <v>1380</v>
      </c>
      <c r="L29" s="19">
        <f t="shared" si="9"/>
        <v>2300</v>
      </c>
      <c r="M29" s="17">
        <f t="shared" si="10"/>
        <v>11960</v>
      </c>
    </row>
    <row r="30">
      <c r="A30" s="54" t="s">
        <v>41</v>
      </c>
      <c r="B30" s="15">
        <v>56.0</v>
      </c>
      <c r="C30" s="16">
        <v>2.0</v>
      </c>
      <c r="D30" s="17">
        <f t="shared" si="1"/>
        <v>224</v>
      </c>
      <c r="E30" s="18">
        <f t="shared" si="2"/>
        <v>336</v>
      </c>
      <c r="F30" s="18">
        <f t="shared" si="3"/>
        <v>112</v>
      </c>
      <c r="G30" s="18">
        <f t="shared" si="4"/>
        <v>224</v>
      </c>
      <c r="H30" s="18">
        <f t="shared" si="5"/>
        <v>336</v>
      </c>
      <c r="I30" s="19">
        <f t="shared" si="6"/>
        <v>560</v>
      </c>
      <c r="J30" s="17">
        <f t="shared" si="7"/>
        <v>224</v>
      </c>
      <c r="K30" s="18">
        <f t="shared" si="8"/>
        <v>336</v>
      </c>
      <c r="L30" s="19">
        <f t="shared" si="9"/>
        <v>560</v>
      </c>
      <c r="M30" s="17">
        <f t="shared" si="10"/>
        <v>2912</v>
      </c>
    </row>
    <row r="31">
      <c r="A31" s="55" t="s">
        <v>42</v>
      </c>
      <c r="B31" s="15">
        <v>93.0</v>
      </c>
      <c r="C31" s="41">
        <v>4.0</v>
      </c>
      <c r="D31" s="17">
        <f t="shared" si="1"/>
        <v>744</v>
      </c>
      <c r="E31" s="18">
        <f t="shared" si="2"/>
        <v>1116</v>
      </c>
      <c r="F31" s="18">
        <f t="shared" si="3"/>
        <v>372</v>
      </c>
      <c r="G31" s="18">
        <f t="shared" si="4"/>
        <v>744</v>
      </c>
      <c r="H31" s="18">
        <f t="shared" si="5"/>
        <v>1116</v>
      </c>
      <c r="I31" s="19">
        <f t="shared" si="6"/>
        <v>1860</v>
      </c>
      <c r="J31" s="17">
        <f t="shared" si="7"/>
        <v>744</v>
      </c>
      <c r="K31" s="18">
        <f t="shared" si="8"/>
        <v>1116</v>
      </c>
      <c r="L31" s="19">
        <f t="shared" si="9"/>
        <v>1860</v>
      </c>
      <c r="M31" s="17">
        <f t="shared" si="10"/>
        <v>9672</v>
      </c>
    </row>
    <row r="32">
      <c r="A32" s="56" t="s">
        <v>43</v>
      </c>
      <c r="B32" s="15">
        <v>17.0</v>
      </c>
      <c r="C32" s="21">
        <v>1.0</v>
      </c>
      <c r="D32" s="17">
        <f t="shared" si="1"/>
        <v>34</v>
      </c>
      <c r="E32" s="18">
        <f t="shared" si="2"/>
        <v>51</v>
      </c>
      <c r="F32" s="18">
        <f t="shared" si="3"/>
        <v>17</v>
      </c>
      <c r="G32" s="18">
        <f t="shared" si="4"/>
        <v>34</v>
      </c>
      <c r="H32" s="18">
        <f t="shared" si="5"/>
        <v>51</v>
      </c>
      <c r="I32" s="19">
        <f t="shared" si="6"/>
        <v>85</v>
      </c>
      <c r="J32" s="17">
        <f t="shared" si="7"/>
        <v>34</v>
      </c>
      <c r="K32" s="18">
        <f t="shared" si="8"/>
        <v>51</v>
      </c>
      <c r="L32" s="19">
        <f t="shared" si="9"/>
        <v>85</v>
      </c>
      <c r="M32" s="17">
        <f t="shared" si="10"/>
        <v>442</v>
      </c>
    </row>
    <row r="33">
      <c r="A33" s="57" t="s">
        <v>44</v>
      </c>
      <c r="B33" s="15">
        <v>10.0</v>
      </c>
      <c r="C33" s="21">
        <v>1.0</v>
      </c>
      <c r="D33" s="17">
        <f t="shared" si="1"/>
        <v>20</v>
      </c>
      <c r="E33" s="18">
        <f t="shared" si="2"/>
        <v>30</v>
      </c>
      <c r="F33" s="18">
        <f t="shared" si="3"/>
        <v>10</v>
      </c>
      <c r="G33" s="18">
        <f t="shared" si="4"/>
        <v>20</v>
      </c>
      <c r="H33" s="18">
        <f t="shared" si="5"/>
        <v>30</v>
      </c>
      <c r="I33" s="19">
        <f t="shared" si="6"/>
        <v>50</v>
      </c>
      <c r="J33" s="17">
        <f t="shared" si="7"/>
        <v>20</v>
      </c>
      <c r="K33" s="18">
        <f t="shared" si="8"/>
        <v>30</v>
      </c>
      <c r="L33" s="19">
        <f t="shared" si="9"/>
        <v>50</v>
      </c>
      <c r="M33" s="17">
        <f t="shared" si="10"/>
        <v>260</v>
      </c>
    </row>
    <row r="34">
      <c r="A34" s="58" t="s">
        <v>45</v>
      </c>
      <c r="B34" s="15">
        <v>21.0</v>
      </c>
      <c r="C34" s="21">
        <v>1.0</v>
      </c>
      <c r="D34" s="17">
        <f t="shared" si="1"/>
        <v>42</v>
      </c>
      <c r="E34" s="18">
        <f t="shared" si="2"/>
        <v>63</v>
      </c>
      <c r="F34" s="18">
        <f t="shared" si="3"/>
        <v>21</v>
      </c>
      <c r="G34" s="18">
        <f t="shared" si="4"/>
        <v>42</v>
      </c>
      <c r="H34" s="18">
        <f t="shared" si="5"/>
        <v>63</v>
      </c>
      <c r="I34" s="19">
        <f t="shared" si="6"/>
        <v>105</v>
      </c>
      <c r="J34" s="17">
        <f t="shared" si="7"/>
        <v>42</v>
      </c>
      <c r="K34" s="18">
        <f t="shared" si="8"/>
        <v>63</v>
      </c>
      <c r="L34" s="19">
        <f t="shared" si="9"/>
        <v>105</v>
      </c>
      <c r="M34" s="17">
        <f t="shared" si="10"/>
        <v>546</v>
      </c>
    </row>
    <row r="35">
      <c r="A35" s="59" t="s">
        <v>46</v>
      </c>
      <c r="B35" s="15">
        <v>33.0</v>
      </c>
      <c r="C35" s="21">
        <v>1.0</v>
      </c>
      <c r="D35" s="17">
        <f t="shared" si="1"/>
        <v>66</v>
      </c>
      <c r="E35" s="18">
        <f t="shared" si="2"/>
        <v>99</v>
      </c>
      <c r="F35" s="18">
        <f t="shared" si="3"/>
        <v>33</v>
      </c>
      <c r="G35" s="18">
        <f t="shared" si="4"/>
        <v>66</v>
      </c>
      <c r="H35" s="18">
        <f t="shared" si="5"/>
        <v>99</v>
      </c>
      <c r="I35" s="19">
        <f t="shared" si="6"/>
        <v>165</v>
      </c>
      <c r="J35" s="17">
        <f t="shared" si="7"/>
        <v>66</v>
      </c>
      <c r="K35" s="18">
        <f t="shared" si="8"/>
        <v>99</v>
      </c>
      <c r="L35" s="19">
        <f t="shared" si="9"/>
        <v>165</v>
      </c>
      <c r="M35" s="17">
        <f t="shared" si="10"/>
        <v>858</v>
      </c>
    </row>
    <row r="36">
      <c r="A36" s="60" t="s">
        <v>47</v>
      </c>
      <c r="B36" s="15">
        <v>62.0</v>
      </c>
      <c r="C36" s="16">
        <v>2.0</v>
      </c>
      <c r="D36" s="17">
        <f t="shared" si="1"/>
        <v>248</v>
      </c>
      <c r="E36" s="18">
        <f t="shared" si="2"/>
        <v>372</v>
      </c>
      <c r="F36" s="18">
        <f t="shared" si="3"/>
        <v>124</v>
      </c>
      <c r="G36" s="18">
        <f t="shared" si="4"/>
        <v>248</v>
      </c>
      <c r="H36" s="18">
        <f t="shared" si="5"/>
        <v>372</v>
      </c>
      <c r="I36" s="19">
        <f t="shared" si="6"/>
        <v>620</v>
      </c>
      <c r="J36" s="17">
        <f t="shared" si="7"/>
        <v>248</v>
      </c>
      <c r="K36" s="18">
        <f t="shared" si="8"/>
        <v>372</v>
      </c>
      <c r="L36" s="19">
        <f t="shared" si="9"/>
        <v>620</v>
      </c>
      <c r="M36" s="17">
        <f t="shared" si="10"/>
        <v>3224</v>
      </c>
    </row>
    <row r="37">
      <c r="A37" s="61" t="s">
        <v>48</v>
      </c>
      <c r="B37" s="15">
        <v>100.0</v>
      </c>
      <c r="C37" s="36">
        <v>3.0</v>
      </c>
      <c r="D37" s="17">
        <f t="shared" si="1"/>
        <v>600</v>
      </c>
      <c r="E37" s="18">
        <f t="shared" si="2"/>
        <v>900</v>
      </c>
      <c r="F37" s="18">
        <f t="shared" si="3"/>
        <v>300</v>
      </c>
      <c r="G37" s="18">
        <f t="shared" si="4"/>
        <v>600</v>
      </c>
      <c r="H37" s="18">
        <f t="shared" si="5"/>
        <v>900</v>
      </c>
      <c r="I37" s="19">
        <f t="shared" si="6"/>
        <v>1500</v>
      </c>
      <c r="J37" s="17">
        <f t="shared" si="7"/>
        <v>600</v>
      </c>
      <c r="K37" s="18">
        <f t="shared" si="8"/>
        <v>900</v>
      </c>
      <c r="L37" s="19">
        <f t="shared" si="9"/>
        <v>1500</v>
      </c>
      <c r="M37" s="17">
        <f t="shared" si="10"/>
        <v>7800</v>
      </c>
    </row>
    <row r="38">
      <c r="A38" s="62" t="s">
        <v>49</v>
      </c>
      <c r="B38" s="15">
        <v>53.0</v>
      </c>
      <c r="C38" s="16">
        <v>2.0</v>
      </c>
      <c r="D38" s="17">
        <f t="shared" si="1"/>
        <v>212</v>
      </c>
      <c r="E38" s="18">
        <f t="shared" si="2"/>
        <v>318</v>
      </c>
      <c r="F38" s="18">
        <f t="shared" si="3"/>
        <v>106</v>
      </c>
      <c r="G38" s="18">
        <f t="shared" si="4"/>
        <v>212</v>
      </c>
      <c r="H38" s="18">
        <f t="shared" si="5"/>
        <v>318</v>
      </c>
      <c r="I38" s="19">
        <f t="shared" si="6"/>
        <v>530</v>
      </c>
      <c r="J38" s="17">
        <f t="shared" si="7"/>
        <v>212</v>
      </c>
      <c r="K38" s="18">
        <f t="shared" si="8"/>
        <v>318</v>
      </c>
      <c r="L38" s="19">
        <f t="shared" si="9"/>
        <v>530</v>
      </c>
      <c r="M38" s="17">
        <f t="shared" si="10"/>
        <v>2756</v>
      </c>
    </row>
    <row r="39">
      <c r="A39" s="63" t="s">
        <v>50</v>
      </c>
      <c r="B39" s="15">
        <v>4.0</v>
      </c>
      <c r="C39" s="21">
        <v>1.0</v>
      </c>
      <c r="D39" s="17">
        <f t="shared" si="1"/>
        <v>8</v>
      </c>
      <c r="E39" s="18">
        <f t="shared" si="2"/>
        <v>12</v>
      </c>
      <c r="F39" s="18">
        <f t="shared" si="3"/>
        <v>4</v>
      </c>
      <c r="G39" s="18">
        <f t="shared" si="4"/>
        <v>8</v>
      </c>
      <c r="H39" s="18">
        <f t="shared" si="5"/>
        <v>12</v>
      </c>
      <c r="I39" s="19">
        <f t="shared" si="6"/>
        <v>20</v>
      </c>
      <c r="J39" s="17">
        <f t="shared" si="7"/>
        <v>8</v>
      </c>
      <c r="K39" s="18">
        <f t="shared" si="8"/>
        <v>12</v>
      </c>
      <c r="L39" s="19">
        <f t="shared" si="9"/>
        <v>20</v>
      </c>
      <c r="M39" s="17">
        <f t="shared" si="10"/>
        <v>104</v>
      </c>
    </row>
    <row r="40">
      <c r="A40" s="64" t="s">
        <v>51</v>
      </c>
      <c r="B40" s="15">
        <v>88.0</v>
      </c>
      <c r="C40" s="36">
        <v>3.0</v>
      </c>
      <c r="D40" s="17">
        <f t="shared" si="1"/>
        <v>528</v>
      </c>
      <c r="E40" s="18">
        <f t="shared" si="2"/>
        <v>792</v>
      </c>
      <c r="F40" s="18">
        <f t="shared" si="3"/>
        <v>264</v>
      </c>
      <c r="G40" s="18">
        <f t="shared" si="4"/>
        <v>528</v>
      </c>
      <c r="H40" s="18">
        <f t="shared" si="5"/>
        <v>792</v>
      </c>
      <c r="I40" s="19">
        <f t="shared" si="6"/>
        <v>1320</v>
      </c>
      <c r="J40" s="17">
        <f t="shared" si="7"/>
        <v>528</v>
      </c>
      <c r="K40" s="18">
        <f t="shared" si="8"/>
        <v>792</v>
      </c>
      <c r="L40" s="19">
        <f t="shared" si="9"/>
        <v>1320</v>
      </c>
      <c r="M40" s="17">
        <f t="shared" si="10"/>
        <v>6864</v>
      </c>
    </row>
    <row r="41">
      <c r="A41" s="65" t="s">
        <v>52</v>
      </c>
      <c r="B41" s="15">
        <v>77.0</v>
      </c>
      <c r="C41" s="36">
        <v>3.0</v>
      </c>
      <c r="D41" s="17">
        <f t="shared" si="1"/>
        <v>462</v>
      </c>
      <c r="E41" s="18">
        <f t="shared" si="2"/>
        <v>693</v>
      </c>
      <c r="F41" s="18">
        <f t="shared" si="3"/>
        <v>231</v>
      </c>
      <c r="G41" s="18">
        <f t="shared" si="4"/>
        <v>462</v>
      </c>
      <c r="H41" s="18">
        <f t="shared" si="5"/>
        <v>693</v>
      </c>
      <c r="I41" s="19">
        <f t="shared" si="6"/>
        <v>1155</v>
      </c>
      <c r="J41" s="17">
        <f t="shared" si="7"/>
        <v>462</v>
      </c>
      <c r="K41" s="18">
        <f t="shared" si="8"/>
        <v>693</v>
      </c>
      <c r="L41" s="19">
        <f t="shared" si="9"/>
        <v>1155</v>
      </c>
      <c r="M41" s="17">
        <f t="shared" si="10"/>
        <v>6006</v>
      </c>
    </row>
    <row r="42">
      <c r="A42" s="66" t="s">
        <v>53</v>
      </c>
      <c r="B42" s="15">
        <v>36.0</v>
      </c>
      <c r="C42" s="21">
        <v>1.0</v>
      </c>
      <c r="D42" s="17">
        <f t="shared" si="1"/>
        <v>72</v>
      </c>
      <c r="E42" s="18">
        <f t="shared" si="2"/>
        <v>108</v>
      </c>
      <c r="F42" s="18">
        <f t="shared" si="3"/>
        <v>36</v>
      </c>
      <c r="G42" s="18">
        <f t="shared" si="4"/>
        <v>72</v>
      </c>
      <c r="H42" s="18">
        <f t="shared" si="5"/>
        <v>108</v>
      </c>
      <c r="I42" s="19">
        <f t="shared" si="6"/>
        <v>180</v>
      </c>
      <c r="J42" s="17">
        <f t="shared" si="7"/>
        <v>72</v>
      </c>
      <c r="K42" s="18">
        <f t="shared" si="8"/>
        <v>108</v>
      </c>
      <c r="L42" s="19">
        <f t="shared" si="9"/>
        <v>180</v>
      </c>
      <c r="M42" s="17">
        <f t="shared" si="10"/>
        <v>936</v>
      </c>
    </row>
    <row r="43">
      <c r="A43" s="67" t="s">
        <v>54</v>
      </c>
      <c r="B43" s="15">
        <v>67.0</v>
      </c>
      <c r="C43" s="16">
        <v>2.0</v>
      </c>
      <c r="D43" s="17">
        <f t="shared" si="1"/>
        <v>268</v>
      </c>
      <c r="E43" s="18">
        <f t="shared" si="2"/>
        <v>402</v>
      </c>
      <c r="F43" s="18">
        <f t="shared" si="3"/>
        <v>134</v>
      </c>
      <c r="G43" s="18">
        <f t="shared" si="4"/>
        <v>268</v>
      </c>
      <c r="H43" s="18">
        <f t="shared" si="5"/>
        <v>402</v>
      </c>
      <c r="I43" s="19">
        <f t="shared" si="6"/>
        <v>670</v>
      </c>
      <c r="J43" s="17">
        <f t="shared" si="7"/>
        <v>268</v>
      </c>
      <c r="K43" s="18">
        <f t="shared" si="8"/>
        <v>402</v>
      </c>
      <c r="L43" s="19">
        <f t="shared" si="9"/>
        <v>670</v>
      </c>
      <c r="M43" s="17">
        <f t="shared" si="10"/>
        <v>3484</v>
      </c>
    </row>
    <row r="44">
      <c r="A44" s="68" t="s">
        <v>55</v>
      </c>
      <c r="B44" s="15">
        <v>78.0</v>
      </c>
      <c r="C44" s="36">
        <v>3.0</v>
      </c>
      <c r="D44" s="17">
        <f t="shared" si="1"/>
        <v>468</v>
      </c>
      <c r="E44" s="18">
        <f t="shared" si="2"/>
        <v>702</v>
      </c>
      <c r="F44" s="18">
        <f t="shared" si="3"/>
        <v>234</v>
      </c>
      <c r="G44" s="18">
        <f t="shared" si="4"/>
        <v>468</v>
      </c>
      <c r="H44" s="18">
        <f t="shared" si="5"/>
        <v>702</v>
      </c>
      <c r="I44" s="19">
        <f t="shared" si="6"/>
        <v>1170</v>
      </c>
      <c r="J44" s="17">
        <f t="shared" si="7"/>
        <v>468</v>
      </c>
      <c r="K44" s="18">
        <f t="shared" si="8"/>
        <v>702</v>
      </c>
      <c r="L44" s="19">
        <f t="shared" si="9"/>
        <v>1170</v>
      </c>
      <c r="M44" s="17">
        <f t="shared" si="10"/>
        <v>6084</v>
      </c>
    </row>
    <row r="45">
      <c r="A45" s="69" t="s">
        <v>56</v>
      </c>
      <c r="B45" s="15">
        <v>5.0</v>
      </c>
      <c r="C45" s="21">
        <v>1.0</v>
      </c>
      <c r="D45" s="17">
        <f t="shared" si="1"/>
        <v>10</v>
      </c>
      <c r="E45" s="18">
        <f t="shared" si="2"/>
        <v>15</v>
      </c>
      <c r="F45" s="18">
        <f t="shared" si="3"/>
        <v>5</v>
      </c>
      <c r="G45" s="18">
        <f t="shared" si="4"/>
        <v>10</v>
      </c>
      <c r="H45" s="18">
        <f t="shared" si="5"/>
        <v>15</v>
      </c>
      <c r="I45" s="19">
        <f t="shared" si="6"/>
        <v>25</v>
      </c>
      <c r="J45" s="17">
        <f t="shared" si="7"/>
        <v>10</v>
      </c>
      <c r="K45" s="18">
        <f t="shared" si="8"/>
        <v>15</v>
      </c>
      <c r="L45" s="19">
        <f t="shared" si="9"/>
        <v>25</v>
      </c>
      <c r="M45" s="17">
        <f t="shared" si="10"/>
        <v>130</v>
      </c>
    </row>
    <row r="46">
      <c r="A46" s="70" t="s">
        <v>57</v>
      </c>
      <c r="B46" s="15">
        <v>46.0</v>
      </c>
      <c r="C46" s="21">
        <v>1.0</v>
      </c>
      <c r="D46" s="17">
        <f t="shared" si="1"/>
        <v>92</v>
      </c>
      <c r="E46" s="18">
        <f t="shared" si="2"/>
        <v>138</v>
      </c>
      <c r="F46" s="18">
        <f t="shared" si="3"/>
        <v>46</v>
      </c>
      <c r="G46" s="18">
        <f t="shared" si="4"/>
        <v>92</v>
      </c>
      <c r="H46" s="18">
        <f t="shared" si="5"/>
        <v>138</v>
      </c>
      <c r="I46" s="19">
        <f t="shared" si="6"/>
        <v>230</v>
      </c>
      <c r="J46" s="17">
        <f t="shared" si="7"/>
        <v>92</v>
      </c>
      <c r="K46" s="18">
        <f t="shared" si="8"/>
        <v>138</v>
      </c>
      <c r="L46" s="19">
        <f t="shared" si="9"/>
        <v>230</v>
      </c>
      <c r="M46" s="17">
        <f t="shared" si="10"/>
        <v>1196</v>
      </c>
    </row>
    <row r="47">
      <c r="A47" s="71" t="s">
        <v>58</v>
      </c>
      <c r="B47" s="15">
        <v>66.0</v>
      </c>
      <c r="C47" s="36">
        <v>3.0</v>
      </c>
      <c r="D47" s="17">
        <f t="shared" si="1"/>
        <v>396</v>
      </c>
      <c r="E47" s="18">
        <f t="shared" si="2"/>
        <v>594</v>
      </c>
      <c r="F47" s="18">
        <f t="shared" si="3"/>
        <v>198</v>
      </c>
      <c r="G47" s="18">
        <f t="shared" si="4"/>
        <v>396</v>
      </c>
      <c r="H47" s="18">
        <f t="shared" si="5"/>
        <v>594</v>
      </c>
      <c r="I47" s="19">
        <f t="shared" si="6"/>
        <v>990</v>
      </c>
      <c r="J47" s="17">
        <f t="shared" si="7"/>
        <v>396</v>
      </c>
      <c r="K47" s="18">
        <f t="shared" si="8"/>
        <v>594</v>
      </c>
      <c r="L47" s="19">
        <f t="shared" si="9"/>
        <v>990</v>
      </c>
      <c r="M47" s="17">
        <f t="shared" si="10"/>
        <v>5148</v>
      </c>
    </row>
    <row r="48">
      <c r="A48" s="72" t="s">
        <v>59</v>
      </c>
      <c r="B48" s="15">
        <v>95.0</v>
      </c>
      <c r="C48" s="36">
        <v>3.0</v>
      </c>
      <c r="D48" s="17">
        <f t="shared" si="1"/>
        <v>570</v>
      </c>
      <c r="E48" s="18">
        <f t="shared" si="2"/>
        <v>855</v>
      </c>
      <c r="F48" s="18">
        <f t="shared" si="3"/>
        <v>285</v>
      </c>
      <c r="G48" s="18">
        <f t="shared" si="4"/>
        <v>570</v>
      </c>
      <c r="H48" s="18">
        <f t="shared" si="5"/>
        <v>855</v>
      </c>
      <c r="I48" s="19">
        <f t="shared" si="6"/>
        <v>1425</v>
      </c>
      <c r="J48" s="17">
        <f t="shared" si="7"/>
        <v>570</v>
      </c>
      <c r="K48" s="18">
        <f t="shared" si="8"/>
        <v>855</v>
      </c>
      <c r="L48" s="19">
        <f t="shared" si="9"/>
        <v>1425</v>
      </c>
      <c r="M48" s="17">
        <f t="shared" si="10"/>
        <v>7410</v>
      </c>
    </row>
    <row r="49">
      <c r="A49" s="73" t="s">
        <v>60</v>
      </c>
      <c r="B49" s="15">
        <v>254.0</v>
      </c>
      <c r="C49" s="41">
        <v>4.0</v>
      </c>
      <c r="D49" s="17">
        <f t="shared" si="1"/>
        <v>2032</v>
      </c>
      <c r="E49" s="18">
        <f t="shared" si="2"/>
        <v>3048</v>
      </c>
      <c r="F49" s="18">
        <f t="shared" si="3"/>
        <v>1016</v>
      </c>
      <c r="G49" s="18">
        <f t="shared" si="4"/>
        <v>2032</v>
      </c>
      <c r="H49" s="18">
        <f t="shared" si="5"/>
        <v>3048</v>
      </c>
      <c r="I49" s="19">
        <f t="shared" si="6"/>
        <v>5080</v>
      </c>
      <c r="J49" s="17">
        <f t="shared" si="7"/>
        <v>2032</v>
      </c>
      <c r="K49" s="18">
        <f t="shared" si="8"/>
        <v>3048</v>
      </c>
      <c r="L49" s="19">
        <f t="shared" si="9"/>
        <v>5080</v>
      </c>
      <c r="M49" s="17">
        <f t="shared" si="10"/>
        <v>26416</v>
      </c>
    </row>
    <row r="50">
      <c r="A50" s="74" t="s">
        <v>61</v>
      </c>
      <c r="B50" s="15">
        <v>9.0</v>
      </c>
      <c r="C50" s="21">
        <v>1.0</v>
      </c>
      <c r="D50" s="17">
        <f t="shared" si="1"/>
        <v>18</v>
      </c>
      <c r="E50" s="18">
        <f t="shared" si="2"/>
        <v>27</v>
      </c>
      <c r="F50" s="18">
        <f t="shared" si="3"/>
        <v>9</v>
      </c>
      <c r="G50" s="18">
        <f t="shared" si="4"/>
        <v>18</v>
      </c>
      <c r="H50" s="18">
        <f t="shared" si="5"/>
        <v>27</v>
      </c>
      <c r="I50" s="19">
        <f t="shared" si="6"/>
        <v>45</v>
      </c>
      <c r="J50" s="17">
        <f t="shared" si="7"/>
        <v>18</v>
      </c>
      <c r="K50" s="18">
        <f t="shared" si="8"/>
        <v>27</v>
      </c>
      <c r="L50" s="19">
        <f t="shared" si="9"/>
        <v>45</v>
      </c>
      <c r="M50" s="17">
        <f t="shared" si="10"/>
        <v>234</v>
      </c>
    </row>
    <row r="51">
      <c r="A51" s="75" t="s">
        <v>62</v>
      </c>
      <c r="B51" s="15">
        <v>3.0</v>
      </c>
      <c r="C51" s="21">
        <v>1.0</v>
      </c>
      <c r="D51" s="17">
        <f t="shared" si="1"/>
        <v>6</v>
      </c>
      <c r="E51" s="18">
        <f t="shared" si="2"/>
        <v>9</v>
      </c>
      <c r="F51" s="18">
        <f t="shared" si="3"/>
        <v>3</v>
      </c>
      <c r="G51" s="18">
        <f t="shared" si="4"/>
        <v>6</v>
      </c>
      <c r="H51" s="18">
        <f t="shared" si="5"/>
        <v>9</v>
      </c>
      <c r="I51" s="19">
        <f t="shared" si="6"/>
        <v>15</v>
      </c>
      <c r="J51" s="17">
        <f t="shared" si="7"/>
        <v>6</v>
      </c>
      <c r="K51" s="18">
        <f t="shared" si="8"/>
        <v>9</v>
      </c>
      <c r="L51" s="19">
        <f t="shared" si="9"/>
        <v>15</v>
      </c>
      <c r="M51" s="17">
        <f t="shared" si="10"/>
        <v>78</v>
      </c>
    </row>
    <row r="52">
      <c r="A52" s="76" t="s">
        <v>63</v>
      </c>
      <c r="B52" s="15">
        <v>29.0</v>
      </c>
      <c r="C52" s="21">
        <v>1.0</v>
      </c>
      <c r="D52" s="17">
        <f t="shared" si="1"/>
        <v>58</v>
      </c>
      <c r="E52" s="18">
        <f t="shared" si="2"/>
        <v>87</v>
      </c>
      <c r="F52" s="18">
        <f t="shared" si="3"/>
        <v>29</v>
      </c>
      <c r="G52" s="18">
        <f t="shared" si="4"/>
        <v>58</v>
      </c>
      <c r="H52" s="18">
        <f t="shared" si="5"/>
        <v>87</v>
      </c>
      <c r="I52" s="19">
        <f t="shared" si="6"/>
        <v>145</v>
      </c>
      <c r="J52" s="17">
        <f t="shared" si="7"/>
        <v>58</v>
      </c>
      <c r="K52" s="18">
        <f t="shared" si="8"/>
        <v>87</v>
      </c>
      <c r="L52" s="19">
        <f t="shared" si="9"/>
        <v>145</v>
      </c>
      <c r="M52" s="17">
        <f t="shared" si="10"/>
        <v>754</v>
      </c>
    </row>
    <row r="53">
      <c r="A53" s="77" t="s">
        <v>64</v>
      </c>
      <c r="B53" s="15">
        <v>14.0</v>
      </c>
      <c r="C53" s="21">
        <v>1.0</v>
      </c>
      <c r="D53" s="17">
        <f t="shared" si="1"/>
        <v>28</v>
      </c>
      <c r="E53" s="18">
        <f t="shared" si="2"/>
        <v>42</v>
      </c>
      <c r="F53" s="18">
        <f t="shared" si="3"/>
        <v>14</v>
      </c>
      <c r="G53" s="18">
        <f t="shared" si="4"/>
        <v>28</v>
      </c>
      <c r="H53" s="18">
        <f t="shared" si="5"/>
        <v>42</v>
      </c>
      <c r="I53" s="19">
        <f t="shared" si="6"/>
        <v>70</v>
      </c>
      <c r="J53" s="17">
        <f t="shared" si="7"/>
        <v>28</v>
      </c>
      <c r="K53" s="18">
        <f t="shared" si="8"/>
        <v>42</v>
      </c>
      <c r="L53" s="19">
        <f t="shared" si="9"/>
        <v>70</v>
      </c>
      <c r="M53" s="17">
        <f t="shared" si="10"/>
        <v>364</v>
      </c>
    </row>
    <row r="54">
      <c r="A54" s="78" t="s">
        <v>65</v>
      </c>
      <c r="B54" s="15">
        <v>133.0</v>
      </c>
      <c r="C54" s="36">
        <v>3.0</v>
      </c>
      <c r="D54" s="17">
        <f t="shared" si="1"/>
        <v>798</v>
      </c>
      <c r="E54" s="18">
        <f t="shared" si="2"/>
        <v>1197</v>
      </c>
      <c r="F54" s="18">
        <f t="shared" si="3"/>
        <v>399</v>
      </c>
      <c r="G54" s="18">
        <f t="shared" si="4"/>
        <v>798</v>
      </c>
      <c r="H54" s="18">
        <f t="shared" si="5"/>
        <v>1197</v>
      </c>
      <c r="I54" s="19">
        <f t="shared" si="6"/>
        <v>1995</v>
      </c>
      <c r="J54" s="17">
        <f t="shared" si="7"/>
        <v>798</v>
      </c>
      <c r="K54" s="18">
        <f t="shared" si="8"/>
        <v>1197</v>
      </c>
      <c r="L54" s="19">
        <f t="shared" si="9"/>
        <v>1995</v>
      </c>
      <c r="M54" s="17">
        <f t="shared" si="10"/>
        <v>10374</v>
      </c>
    </row>
    <row r="55">
      <c r="A55" s="79" t="s">
        <v>66</v>
      </c>
      <c r="B55" s="15">
        <v>39.0</v>
      </c>
      <c r="C55" s="21">
        <v>1.0</v>
      </c>
      <c r="D55" s="17">
        <f t="shared" si="1"/>
        <v>78</v>
      </c>
      <c r="E55" s="18">
        <f t="shared" si="2"/>
        <v>117</v>
      </c>
      <c r="F55" s="18">
        <f t="shared" si="3"/>
        <v>39</v>
      </c>
      <c r="G55" s="18">
        <f t="shared" si="4"/>
        <v>78</v>
      </c>
      <c r="H55" s="18">
        <f t="shared" si="5"/>
        <v>117</v>
      </c>
      <c r="I55" s="19">
        <f t="shared" si="6"/>
        <v>195</v>
      </c>
      <c r="J55" s="17">
        <f t="shared" si="7"/>
        <v>78</v>
      </c>
      <c r="K55" s="18">
        <f t="shared" si="8"/>
        <v>117</v>
      </c>
      <c r="L55" s="19">
        <f t="shared" si="9"/>
        <v>195</v>
      </c>
      <c r="M55" s="17">
        <f t="shared" si="10"/>
        <v>1014</v>
      </c>
    </row>
    <row r="56">
      <c r="A56" s="80" t="s">
        <v>67</v>
      </c>
      <c r="B56" s="15">
        <v>55.0</v>
      </c>
      <c r="C56" s="16">
        <v>2.0</v>
      </c>
      <c r="D56" s="17">
        <f t="shared" si="1"/>
        <v>220</v>
      </c>
      <c r="E56" s="18">
        <f t="shared" si="2"/>
        <v>330</v>
      </c>
      <c r="F56" s="18">
        <f t="shared" si="3"/>
        <v>110</v>
      </c>
      <c r="G56" s="18">
        <f t="shared" si="4"/>
        <v>220</v>
      </c>
      <c r="H56" s="18">
        <f t="shared" si="5"/>
        <v>330</v>
      </c>
      <c r="I56" s="19">
        <f t="shared" si="6"/>
        <v>550</v>
      </c>
      <c r="J56" s="17">
        <f t="shared" si="7"/>
        <v>220</v>
      </c>
      <c r="K56" s="18">
        <f t="shared" si="8"/>
        <v>330</v>
      </c>
      <c r="L56" s="19">
        <f t="shared" si="9"/>
        <v>550</v>
      </c>
      <c r="M56" s="17">
        <f t="shared" si="10"/>
        <v>2860</v>
      </c>
    </row>
    <row r="57">
      <c r="A57" s="81" t="s">
        <v>68</v>
      </c>
      <c r="B57" s="15">
        <v>72.0</v>
      </c>
      <c r="C57" s="82">
        <v>3.0</v>
      </c>
      <c r="D57" s="17">
        <f t="shared" si="1"/>
        <v>432</v>
      </c>
      <c r="E57" s="18">
        <f t="shared" si="2"/>
        <v>648</v>
      </c>
      <c r="F57" s="18">
        <f t="shared" si="3"/>
        <v>216</v>
      </c>
      <c r="G57" s="18">
        <f t="shared" si="4"/>
        <v>432</v>
      </c>
      <c r="H57" s="18">
        <f t="shared" si="5"/>
        <v>648</v>
      </c>
      <c r="I57" s="19">
        <f t="shared" si="6"/>
        <v>1080</v>
      </c>
      <c r="J57" s="17">
        <f t="shared" si="7"/>
        <v>432</v>
      </c>
      <c r="K57" s="18">
        <f t="shared" si="8"/>
        <v>648</v>
      </c>
      <c r="L57" s="19">
        <f t="shared" si="9"/>
        <v>1080</v>
      </c>
      <c r="M57" s="17">
        <f t="shared" si="10"/>
        <v>5616</v>
      </c>
    </row>
    <row r="58">
      <c r="A58" s="83" t="s">
        <v>69</v>
      </c>
      <c r="B58" s="84">
        <v>23.0</v>
      </c>
      <c r="C58" s="85">
        <v>1.0</v>
      </c>
      <c r="D58" s="17">
        <f t="shared" si="1"/>
        <v>46</v>
      </c>
      <c r="E58" s="18">
        <f t="shared" si="2"/>
        <v>69</v>
      </c>
      <c r="F58" s="18">
        <f t="shared" si="3"/>
        <v>23</v>
      </c>
      <c r="G58" s="18">
        <f t="shared" si="4"/>
        <v>46</v>
      </c>
      <c r="H58" s="18">
        <f t="shared" si="5"/>
        <v>69</v>
      </c>
      <c r="I58" s="19">
        <f t="shared" si="6"/>
        <v>115</v>
      </c>
      <c r="J58" s="86">
        <f t="shared" si="7"/>
        <v>46</v>
      </c>
      <c r="K58" s="87">
        <f t="shared" si="8"/>
        <v>69</v>
      </c>
      <c r="L58" s="88">
        <f t="shared" si="9"/>
        <v>115</v>
      </c>
      <c r="M58" s="17">
        <f t="shared" si="10"/>
        <v>598</v>
      </c>
    </row>
    <row r="59">
      <c r="A59" s="89" t="s">
        <v>70</v>
      </c>
      <c r="B59" s="90">
        <f>SUM(B2:B58)</f>
        <v>3244</v>
      </c>
      <c r="C59" s="91"/>
      <c r="D59" s="92">
        <f t="shared" ref="D59:L59" si="11">SUM(D2:D58)</f>
        <v>17980</v>
      </c>
      <c r="E59" s="93">
        <f t="shared" si="11"/>
        <v>26970</v>
      </c>
      <c r="F59" s="93">
        <f t="shared" si="11"/>
        <v>8990</v>
      </c>
      <c r="G59" s="93">
        <f t="shared" si="11"/>
        <v>17980</v>
      </c>
      <c r="H59" s="93">
        <f t="shared" si="11"/>
        <v>26970</v>
      </c>
      <c r="I59" s="90">
        <f t="shared" si="11"/>
        <v>44950</v>
      </c>
      <c r="J59" s="92">
        <f t="shared" si="11"/>
        <v>17980</v>
      </c>
      <c r="K59" s="93">
        <f t="shared" si="11"/>
        <v>26970</v>
      </c>
      <c r="L59" s="90">
        <f t="shared" si="11"/>
        <v>44950</v>
      </c>
      <c r="M59" s="94">
        <f t="shared" si="10"/>
        <v>233740</v>
      </c>
    </row>
    <row r="60">
      <c r="A60" s="95" t="s">
        <v>71</v>
      </c>
      <c r="B60" s="15"/>
      <c r="C60" s="96"/>
      <c r="D60" s="97"/>
      <c r="E60" s="98"/>
      <c r="F60" s="98"/>
      <c r="G60" s="98"/>
      <c r="H60" s="98"/>
      <c r="I60" s="15"/>
      <c r="J60" s="97"/>
      <c r="K60" s="98"/>
      <c r="L60" s="15"/>
      <c r="M60" s="97">
        <v>266260.0</v>
      </c>
    </row>
    <row r="61">
      <c r="A61" s="13" t="s">
        <v>12</v>
      </c>
      <c r="B61" s="15"/>
      <c r="C61" s="96"/>
      <c r="D61" s="97"/>
      <c r="E61" s="98"/>
      <c r="F61" s="98"/>
      <c r="G61" s="98"/>
      <c r="H61" s="98"/>
      <c r="I61" s="15"/>
      <c r="J61" s="97"/>
      <c r="K61" s="98"/>
      <c r="L61" s="15"/>
      <c r="M61" s="97">
        <f>M59+M60</f>
        <v>500000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